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L:\Users\amano\Documents\01_趣味\無線\アマチュア無線\国家試験解説AIプロンプト\EnglishForRadioOperators\AmateurFirstClassRadioOperatorExam\"/>
    </mc:Choice>
  </mc:AlternateContent>
  <xr:revisionPtr revIDLastSave="0" documentId="13_ncr:1_{5F043CA7-9D46-47D9-989C-3CE7B02872D7}" xr6:coauthVersionLast="47" xr6:coauthVersionMax="47" xr10:uidLastSave="{00000000-0000-0000-0000-000000000000}"/>
  <bookViews>
    <workbookView xWindow="-108" yWindow="-108" windowWidth="30936" windowHeight="16776" xr2:uid="{00000000-000D-0000-FFFF-FFFF00000000}"/>
  </bookViews>
  <sheets>
    <sheet name="Sheet1" sheetId="1" r:id="rId1"/>
  </sheets>
  <definedNames>
    <definedName name="_xlnm._FilterDatabase" localSheetId="0" hidden="1">Sheet1!$A$1:$AA$217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0" i="1" l="1"/>
  <c r="L45" i="1"/>
  <c r="L66" i="1"/>
  <c r="L69" i="1"/>
  <c r="L76" i="1"/>
  <c r="L78" i="1"/>
  <c r="L79" i="1"/>
  <c r="L80" i="1"/>
  <c r="L81" i="1"/>
  <c r="L87" i="1"/>
  <c r="L88" i="1"/>
  <c r="L104" i="1"/>
  <c r="L116" i="1"/>
  <c r="L132" i="1"/>
  <c r="L136" i="1"/>
  <c r="L143" i="1"/>
  <c r="L171" i="1"/>
  <c r="L172" i="1"/>
  <c r="L178" i="1"/>
  <c r="L181" i="1"/>
  <c r="L199" i="1"/>
  <c r="L200" i="1"/>
  <c r="L206" i="1"/>
  <c r="L209" i="1"/>
  <c r="L216" i="1"/>
  <c r="K3" i="1"/>
  <c r="L3" i="1" s="1"/>
  <c r="K4" i="1"/>
  <c r="L4" i="1" s="1"/>
  <c r="K5" i="1"/>
  <c r="L5" i="1" s="1"/>
  <c r="K6" i="1"/>
  <c r="L6" i="1" s="1"/>
  <c r="K7" i="1"/>
  <c r="L7" i="1" s="1"/>
  <c r="K8" i="1"/>
  <c r="L8" i="1" s="1"/>
  <c r="K9" i="1"/>
  <c r="L9" i="1" s="1"/>
  <c r="K10" i="1"/>
  <c r="L10" i="1" s="1"/>
  <c r="K11" i="1"/>
  <c r="L11" i="1" s="1"/>
  <c r="K12" i="1"/>
  <c r="L12" i="1" s="1"/>
  <c r="K13" i="1"/>
  <c r="L13" i="1" s="1"/>
  <c r="K14" i="1"/>
  <c r="L14" i="1" s="1"/>
  <c r="K15" i="1"/>
  <c r="L15" i="1" s="1"/>
  <c r="K16" i="1"/>
  <c r="L16" i="1" s="1"/>
  <c r="K17" i="1"/>
  <c r="L17" i="1" s="1"/>
  <c r="K18" i="1"/>
  <c r="L18" i="1" s="1"/>
  <c r="K19" i="1"/>
  <c r="L19" i="1" s="1"/>
  <c r="K20" i="1"/>
  <c r="K21" i="1"/>
  <c r="L21" i="1" s="1"/>
  <c r="K22" i="1"/>
  <c r="L22" i="1" s="1"/>
  <c r="K23" i="1"/>
  <c r="L23" i="1" s="1"/>
  <c r="K24" i="1"/>
  <c r="L24" i="1" s="1"/>
  <c r="K25" i="1"/>
  <c r="L25" i="1" s="1"/>
  <c r="K26" i="1"/>
  <c r="L26" i="1" s="1"/>
  <c r="K27" i="1"/>
  <c r="L27" i="1" s="1"/>
  <c r="K28" i="1"/>
  <c r="L28" i="1" s="1"/>
  <c r="K29" i="1"/>
  <c r="L29" i="1" s="1"/>
  <c r="K30" i="1"/>
  <c r="L30" i="1" s="1"/>
  <c r="K31" i="1"/>
  <c r="L31" i="1" s="1"/>
  <c r="K32" i="1"/>
  <c r="L32" i="1" s="1"/>
  <c r="K33" i="1"/>
  <c r="L33" i="1" s="1"/>
  <c r="K34" i="1"/>
  <c r="L34" i="1" s="1"/>
  <c r="K35" i="1"/>
  <c r="L35" i="1" s="1"/>
  <c r="K36" i="1"/>
  <c r="L36" i="1" s="1"/>
  <c r="K37" i="1"/>
  <c r="L37" i="1" s="1"/>
  <c r="K38" i="1"/>
  <c r="L38" i="1" s="1"/>
  <c r="K39" i="1"/>
  <c r="L39" i="1" s="1"/>
  <c r="K40" i="1"/>
  <c r="L40" i="1" s="1"/>
  <c r="K41" i="1"/>
  <c r="L41" i="1" s="1"/>
  <c r="K42" i="1"/>
  <c r="L42" i="1" s="1"/>
  <c r="K43" i="1"/>
  <c r="L43" i="1" s="1"/>
  <c r="K44" i="1"/>
  <c r="L44" i="1" s="1"/>
  <c r="K45" i="1"/>
  <c r="K46" i="1"/>
  <c r="L46" i="1" s="1"/>
  <c r="K47" i="1"/>
  <c r="L47" i="1" s="1"/>
  <c r="K48" i="1"/>
  <c r="L48" i="1" s="1"/>
  <c r="K49" i="1"/>
  <c r="L49" i="1" s="1"/>
  <c r="K50" i="1"/>
  <c r="L50" i="1" s="1"/>
  <c r="K51" i="1"/>
  <c r="L51" i="1" s="1"/>
  <c r="K52" i="1"/>
  <c r="L52" i="1" s="1"/>
  <c r="K53" i="1"/>
  <c r="L53" i="1" s="1"/>
  <c r="K54" i="1"/>
  <c r="L54" i="1" s="1"/>
  <c r="K55" i="1"/>
  <c r="L55" i="1" s="1"/>
  <c r="K56" i="1"/>
  <c r="L56" i="1" s="1"/>
  <c r="K57" i="1"/>
  <c r="L57" i="1" s="1"/>
  <c r="K58" i="1"/>
  <c r="L58" i="1" s="1"/>
  <c r="K59" i="1"/>
  <c r="L59" i="1" s="1"/>
  <c r="K60" i="1"/>
  <c r="L60" i="1" s="1"/>
  <c r="K61" i="1"/>
  <c r="L61" i="1" s="1"/>
  <c r="K62" i="1"/>
  <c r="L62" i="1" s="1"/>
  <c r="K63" i="1"/>
  <c r="L63" i="1" s="1"/>
  <c r="K64" i="1"/>
  <c r="L64" i="1" s="1"/>
  <c r="K65" i="1"/>
  <c r="L65" i="1" s="1"/>
  <c r="K66" i="1"/>
  <c r="K67" i="1"/>
  <c r="L67" i="1" s="1"/>
  <c r="K68" i="1"/>
  <c r="L68" i="1" s="1"/>
  <c r="K69" i="1"/>
  <c r="K70" i="1"/>
  <c r="L70" i="1" s="1"/>
  <c r="K71" i="1"/>
  <c r="L71" i="1" s="1"/>
  <c r="K72" i="1"/>
  <c r="L72" i="1" s="1"/>
  <c r="K73" i="1"/>
  <c r="L73" i="1" s="1"/>
  <c r="K74" i="1"/>
  <c r="L74" i="1" s="1"/>
  <c r="K75" i="1"/>
  <c r="L75" i="1" s="1"/>
  <c r="K76" i="1"/>
  <c r="K77" i="1"/>
  <c r="L77" i="1" s="1"/>
  <c r="K78" i="1"/>
  <c r="K79" i="1"/>
  <c r="K80" i="1"/>
  <c r="K81" i="1"/>
  <c r="K82" i="1"/>
  <c r="L82" i="1" s="1"/>
  <c r="K83" i="1"/>
  <c r="L83" i="1" s="1"/>
  <c r="K84" i="1"/>
  <c r="L84" i="1" s="1"/>
  <c r="K85" i="1"/>
  <c r="L85" i="1" s="1"/>
  <c r="K86" i="1"/>
  <c r="L86" i="1" s="1"/>
  <c r="K87" i="1"/>
  <c r="K88" i="1"/>
  <c r="K89" i="1"/>
  <c r="L89" i="1" s="1"/>
  <c r="K90" i="1"/>
  <c r="L90" i="1" s="1"/>
  <c r="K91" i="1"/>
  <c r="L91" i="1" s="1"/>
  <c r="K92" i="1"/>
  <c r="L92" i="1" s="1"/>
  <c r="K93" i="1"/>
  <c r="L93" i="1" s="1"/>
  <c r="K94" i="1"/>
  <c r="L94" i="1" s="1"/>
  <c r="K95" i="1"/>
  <c r="L95" i="1" s="1"/>
  <c r="K96" i="1"/>
  <c r="L96" i="1" s="1"/>
  <c r="K97" i="1"/>
  <c r="L97" i="1" s="1"/>
  <c r="K98" i="1"/>
  <c r="L98" i="1" s="1"/>
  <c r="K99" i="1"/>
  <c r="L99" i="1" s="1"/>
  <c r="K100" i="1"/>
  <c r="L100" i="1" s="1"/>
  <c r="K101" i="1"/>
  <c r="L101" i="1" s="1"/>
  <c r="K102" i="1"/>
  <c r="L102" i="1" s="1"/>
  <c r="K103" i="1"/>
  <c r="L103" i="1" s="1"/>
  <c r="K104" i="1"/>
  <c r="K105" i="1"/>
  <c r="L105" i="1" s="1"/>
  <c r="K106" i="1"/>
  <c r="L106" i="1" s="1"/>
  <c r="K107" i="1"/>
  <c r="L107" i="1" s="1"/>
  <c r="K108" i="1"/>
  <c r="L108" i="1" s="1"/>
  <c r="K109" i="1"/>
  <c r="L109" i="1" s="1"/>
  <c r="K110" i="1"/>
  <c r="L110" i="1" s="1"/>
  <c r="K111" i="1"/>
  <c r="L111" i="1" s="1"/>
  <c r="K112" i="1"/>
  <c r="L112" i="1" s="1"/>
  <c r="K113" i="1"/>
  <c r="L113" i="1" s="1"/>
  <c r="K114" i="1"/>
  <c r="L114" i="1" s="1"/>
  <c r="K115" i="1"/>
  <c r="L115" i="1" s="1"/>
  <c r="K116" i="1"/>
  <c r="K117" i="1"/>
  <c r="L117" i="1" s="1"/>
  <c r="K118" i="1"/>
  <c r="L118" i="1" s="1"/>
  <c r="K119" i="1"/>
  <c r="L119" i="1" s="1"/>
  <c r="K120" i="1"/>
  <c r="L120" i="1" s="1"/>
  <c r="K121" i="1"/>
  <c r="L121" i="1" s="1"/>
  <c r="K122" i="1"/>
  <c r="L122" i="1" s="1"/>
  <c r="K123" i="1"/>
  <c r="L123" i="1" s="1"/>
  <c r="K124" i="1"/>
  <c r="L124" i="1" s="1"/>
  <c r="K125" i="1"/>
  <c r="L125" i="1" s="1"/>
  <c r="K126" i="1"/>
  <c r="L126" i="1" s="1"/>
  <c r="K127" i="1"/>
  <c r="L127" i="1" s="1"/>
  <c r="K128" i="1"/>
  <c r="L128" i="1" s="1"/>
  <c r="K129" i="1"/>
  <c r="L129" i="1" s="1"/>
  <c r="K130" i="1"/>
  <c r="L130" i="1" s="1"/>
  <c r="K131" i="1"/>
  <c r="L131" i="1" s="1"/>
  <c r="K132" i="1"/>
  <c r="K133" i="1"/>
  <c r="L133" i="1" s="1"/>
  <c r="K134" i="1"/>
  <c r="L134" i="1" s="1"/>
  <c r="K135" i="1"/>
  <c r="L135" i="1" s="1"/>
  <c r="K136" i="1"/>
  <c r="K137" i="1"/>
  <c r="L137" i="1" s="1"/>
  <c r="K138" i="1"/>
  <c r="L138" i="1" s="1"/>
  <c r="K139" i="1"/>
  <c r="L139" i="1" s="1"/>
  <c r="K140" i="1"/>
  <c r="L140" i="1" s="1"/>
  <c r="K141" i="1"/>
  <c r="L141" i="1" s="1"/>
  <c r="K142" i="1"/>
  <c r="L142" i="1" s="1"/>
  <c r="K143" i="1"/>
  <c r="K144" i="1"/>
  <c r="L144" i="1" s="1"/>
  <c r="K145" i="1"/>
  <c r="L145" i="1" s="1"/>
  <c r="K146" i="1"/>
  <c r="L146" i="1" s="1"/>
  <c r="K147" i="1"/>
  <c r="L147" i="1" s="1"/>
  <c r="K148" i="1"/>
  <c r="L148" i="1" s="1"/>
  <c r="K149" i="1"/>
  <c r="L149" i="1" s="1"/>
  <c r="K150" i="1"/>
  <c r="L150" i="1" s="1"/>
  <c r="K151" i="1"/>
  <c r="L151" i="1" s="1"/>
  <c r="K152" i="1"/>
  <c r="L152" i="1" s="1"/>
  <c r="K153" i="1"/>
  <c r="L153" i="1" s="1"/>
  <c r="K154" i="1"/>
  <c r="L154" i="1" s="1"/>
  <c r="K155" i="1"/>
  <c r="L155" i="1" s="1"/>
  <c r="K156" i="1"/>
  <c r="L156" i="1" s="1"/>
  <c r="K157" i="1"/>
  <c r="L157" i="1" s="1"/>
  <c r="K158" i="1"/>
  <c r="L158" i="1" s="1"/>
  <c r="K159" i="1"/>
  <c r="L159" i="1" s="1"/>
  <c r="K160" i="1"/>
  <c r="L160" i="1" s="1"/>
  <c r="K161" i="1"/>
  <c r="L161" i="1" s="1"/>
  <c r="K162" i="1"/>
  <c r="L162" i="1" s="1"/>
  <c r="K163" i="1"/>
  <c r="L163" i="1" s="1"/>
  <c r="K164" i="1"/>
  <c r="L164" i="1" s="1"/>
  <c r="K165" i="1"/>
  <c r="L165" i="1" s="1"/>
  <c r="K166" i="1"/>
  <c r="L166" i="1" s="1"/>
  <c r="K167" i="1"/>
  <c r="L167" i="1" s="1"/>
  <c r="K168" i="1"/>
  <c r="L168" i="1" s="1"/>
  <c r="K169" i="1"/>
  <c r="L169" i="1" s="1"/>
  <c r="K170" i="1"/>
  <c r="L170" i="1" s="1"/>
  <c r="K171" i="1"/>
  <c r="K172" i="1"/>
  <c r="K173" i="1"/>
  <c r="L173" i="1" s="1"/>
  <c r="K174" i="1"/>
  <c r="L174" i="1" s="1"/>
  <c r="K175" i="1"/>
  <c r="L175" i="1" s="1"/>
  <c r="K176" i="1"/>
  <c r="L176" i="1" s="1"/>
  <c r="K177" i="1"/>
  <c r="L177" i="1" s="1"/>
  <c r="K178" i="1"/>
  <c r="K179" i="1"/>
  <c r="L179" i="1" s="1"/>
  <c r="K180" i="1"/>
  <c r="L180" i="1" s="1"/>
  <c r="K181" i="1"/>
  <c r="K182" i="1"/>
  <c r="L182" i="1" s="1"/>
  <c r="K183" i="1"/>
  <c r="L183" i="1" s="1"/>
  <c r="K184" i="1"/>
  <c r="L184" i="1" s="1"/>
  <c r="K185" i="1"/>
  <c r="L185" i="1" s="1"/>
  <c r="K186" i="1"/>
  <c r="L186" i="1" s="1"/>
  <c r="K187" i="1"/>
  <c r="L187" i="1" s="1"/>
  <c r="K188" i="1"/>
  <c r="L188" i="1" s="1"/>
  <c r="K189" i="1"/>
  <c r="L189" i="1" s="1"/>
  <c r="K190" i="1"/>
  <c r="L190" i="1" s="1"/>
  <c r="K191" i="1"/>
  <c r="L191" i="1" s="1"/>
  <c r="K192" i="1"/>
  <c r="L192" i="1" s="1"/>
  <c r="K193" i="1"/>
  <c r="L193" i="1" s="1"/>
  <c r="K194" i="1"/>
  <c r="L194" i="1" s="1"/>
  <c r="K195" i="1"/>
  <c r="L195" i="1" s="1"/>
  <c r="K196" i="1"/>
  <c r="L196" i="1" s="1"/>
  <c r="K197" i="1"/>
  <c r="L197" i="1" s="1"/>
  <c r="K198" i="1"/>
  <c r="L198" i="1" s="1"/>
  <c r="K199" i="1"/>
  <c r="K200" i="1"/>
  <c r="K201" i="1"/>
  <c r="L201" i="1" s="1"/>
  <c r="K202" i="1"/>
  <c r="L202" i="1" s="1"/>
  <c r="K203" i="1"/>
  <c r="L203" i="1" s="1"/>
  <c r="K204" i="1"/>
  <c r="L204" i="1" s="1"/>
  <c r="K205" i="1"/>
  <c r="L205" i="1" s="1"/>
  <c r="K206" i="1"/>
  <c r="K207" i="1"/>
  <c r="L207" i="1" s="1"/>
  <c r="K208" i="1"/>
  <c r="L208" i="1" s="1"/>
  <c r="K209" i="1"/>
  <c r="K210" i="1"/>
  <c r="L210" i="1" s="1"/>
  <c r="K211" i="1"/>
  <c r="L211" i="1" s="1"/>
  <c r="K212" i="1"/>
  <c r="L212" i="1" s="1"/>
  <c r="K213" i="1"/>
  <c r="L213" i="1" s="1"/>
  <c r="K214" i="1"/>
  <c r="L214" i="1" s="1"/>
  <c r="K215" i="1"/>
  <c r="L215" i="1" s="1"/>
  <c r="K216" i="1"/>
  <c r="K217" i="1"/>
  <c r="L217" i="1" s="1"/>
  <c r="K2" i="1"/>
  <c r="L2" i="1" s="1"/>
  <c r="J225" i="1"/>
  <c r="J224" i="1"/>
  <c r="J223" i="1"/>
  <c r="J222" i="1"/>
  <c r="J221" i="1"/>
  <c r="J158" i="1" a="1"/>
  <c r="J158" i="1" s="1"/>
  <c r="I158" i="1"/>
  <c r="H158" i="1"/>
  <c r="H208" i="1"/>
  <c r="I208" i="1"/>
  <c r="J208" i="1" a="1"/>
  <c r="J208" i="1" s="1"/>
  <c r="J201" i="1" a="1"/>
  <c r="J201" i="1" s="1"/>
  <c r="I201" i="1"/>
  <c r="H201" i="1"/>
  <c r="H175" i="1"/>
  <c r="I175" i="1"/>
  <c r="J175" i="1" a="1"/>
  <c r="J175" i="1" s="1"/>
  <c r="J20" i="1" a="1"/>
  <c r="J20" i="1" s="1"/>
  <c r="I20" i="1"/>
  <c r="H20" i="1"/>
  <c r="J49" i="1" a="1"/>
  <c r="J49" i="1" s="1"/>
  <c r="I49" i="1"/>
  <c r="H49" i="1"/>
  <c r="J34" i="1" a="1"/>
  <c r="J34" i="1" s="1"/>
  <c r="I34" i="1"/>
  <c r="H34" i="1"/>
  <c r="J5" i="1" a="1"/>
  <c r="J5" i="1" s="1"/>
  <c r="I5" i="1"/>
  <c r="H5" i="1"/>
  <c r="J199" i="1" a="1"/>
  <c r="J199" i="1" s="1"/>
  <c r="I199" i="1"/>
  <c r="H199" i="1"/>
  <c r="H192" i="1"/>
  <c r="I192" i="1"/>
  <c r="J192" i="1" a="1"/>
  <c r="J192" i="1" s="1"/>
  <c r="H162" i="1"/>
  <c r="I162" i="1"/>
  <c r="J162" i="1" a="1"/>
  <c r="J162" i="1" s="1"/>
  <c r="H122" i="1"/>
  <c r="I122" i="1"/>
  <c r="J122" i="1" a="1"/>
  <c r="J122" i="1" s="1"/>
  <c r="J86" i="1" a="1"/>
  <c r="J86" i="1" s="1"/>
  <c r="I86" i="1"/>
  <c r="H86" i="1"/>
  <c r="J59" i="1" a="1"/>
  <c r="J59" i="1" s="1"/>
  <c r="I59" i="1"/>
  <c r="H59" i="1"/>
  <c r="J3" i="1" a="1"/>
  <c r="J3" i="1" s="1"/>
  <c r="J4" i="1" a="1"/>
  <c r="J4"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50" i="1" a="1"/>
  <c r="J50" i="1" s="1"/>
  <c r="J51" i="1" a="1"/>
  <c r="J51" i="1" s="1"/>
  <c r="J52" i="1" a="1"/>
  <c r="J52" i="1" s="1"/>
  <c r="J53" i="1" a="1"/>
  <c r="J53" i="1" s="1"/>
  <c r="J54" i="1" a="1"/>
  <c r="J54" i="1" s="1"/>
  <c r="J55" i="1" a="1"/>
  <c r="J55" i="1" s="1"/>
  <c r="J56" i="1" a="1"/>
  <c r="J56" i="1" s="1"/>
  <c r="J57" i="1" a="1"/>
  <c r="J57" i="1" s="1"/>
  <c r="J58" i="1" a="1"/>
  <c r="J58"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7" i="1" a="1"/>
  <c r="J87" i="1" s="1"/>
  <c r="J88" i="1" a="1"/>
  <c r="J88" i="1" s="1"/>
  <c r="J89" i="1" a="1"/>
  <c r="J89" i="1" s="1"/>
  <c r="J90" i="1" a="1"/>
  <c r="J90" i="1" s="1"/>
  <c r="J91" i="1" a="1"/>
  <c r="J91" i="1" s="1"/>
  <c r="J92" i="1" a="1"/>
  <c r="J92" i="1" s="1"/>
  <c r="J93" i="1" a="1"/>
  <c r="J93" i="1" s="1"/>
  <c r="J94" i="1" a="1"/>
  <c r="J94" i="1" s="1"/>
  <c r="J95" i="1" a="1"/>
  <c r="J95" i="1" s="1"/>
  <c r="J96" i="1" a="1"/>
  <c r="J96" i="1" s="1"/>
  <c r="J97" i="1" a="1"/>
  <c r="J97" i="1" s="1"/>
  <c r="J98" i="1" a="1"/>
  <c r="J98" i="1" s="1"/>
  <c r="J99" i="1" a="1"/>
  <c r="J99" i="1" s="1"/>
  <c r="J100" i="1" a="1"/>
  <c r="J100" i="1" s="1"/>
  <c r="J101" i="1" a="1"/>
  <c r="J101" i="1" s="1"/>
  <c r="J102" i="1" a="1"/>
  <c r="J102" i="1" s="1"/>
  <c r="J103" i="1" a="1"/>
  <c r="J103" i="1" s="1"/>
  <c r="J104" i="1" a="1"/>
  <c r="J104" i="1" s="1"/>
  <c r="J105" i="1" a="1"/>
  <c r="J105" i="1" s="1"/>
  <c r="J106" i="1" a="1"/>
  <c r="J106" i="1" s="1"/>
  <c r="J107" i="1" a="1"/>
  <c r="J107" i="1" s="1"/>
  <c r="J108" i="1" a="1"/>
  <c r="J108" i="1" s="1"/>
  <c r="J109" i="1" a="1"/>
  <c r="J109" i="1" s="1"/>
  <c r="J110" i="1" a="1"/>
  <c r="J110" i="1" s="1"/>
  <c r="J111" i="1" a="1"/>
  <c r="J111" i="1" s="1"/>
  <c r="J112" i="1" a="1"/>
  <c r="J112" i="1" s="1"/>
  <c r="J113" i="1" a="1"/>
  <c r="J113" i="1" s="1"/>
  <c r="J114" i="1" a="1"/>
  <c r="J114" i="1" s="1"/>
  <c r="J115" i="1" a="1"/>
  <c r="J115" i="1" s="1"/>
  <c r="J116" i="1" a="1"/>
  <c r="J116" i="1" s="1"/>
  <c r="J117" i="1" a="1"/>
  <c r="J117" i="1" s="1"/>
  <c r="J118" i="1" a="1"/>
  <c r="J118" i="1" s="1"/>
  <c r="J119" i="1" a="1"/>
  <c r="J119" i="1" s="1"/>
  <c r="J120" i="1" a="1"/>
  <c r="J120" i="1" s="1"/>
  <c r="J121" i="1" a="1"/>
  <c r="J121" i="1" s="1"/>
  <c r="J123" i="1" a="1"/>
  <c r="J123" i="1" s="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157" i="1" a="1"/>
  <c r="J157" i="1" s="1"/>
  <c r="J159" i="1" a="1"/>
  <c r="J159" i="1" s="1"/>
  <c r="J160" i="1" a="1"/>
  <c r="J160" i="1" s="1"/>
  <c r="J161" i="1" a="1"/>
  <c r="J161" i="1" s="1"/>
  <c r="J163" i="1" a="1"/>
  <c r="J163" i="1" s="1"/>
  <c r="J164" i="1" a="1"/>
  <c r="J164" i="1" s="1"/>
  <c r="J165" i="1" a="1"/>
  <c r="J165" i="1" s="1"/>
  <c r="J166" i="1" a="1"/>
  <c r="J166" i="1" s="1"/>
  <c r="J167" i="1" a="1"/>
  <c r="J167" i="1" s="1"/>
  <c r="J168" i="1" a="1"/>
  <c r="J168" i="1" s="1"/>
  <c r="J169" i="1" a="1"/>
  <c r="J169" i="1" s="1"/>
  <c r="J170" i="1" a="1"/>
  <c r="J170" i="1" s="1"/>
  <c r="J171" i="1" a="1"/>
  <c r="J171" i="1" s="1"/>
  <c r="J172" i="1" a="1"/>
  <c r="J172" i="1" s="1"/>
  <c r="J173" i="1" a="1"/>
  <c r="J173" i="1" s="1"/>
  <c r="J174" i="1" a="1"/>
  <c r="J174" i="1" s="1"/>
  <c r="J176" i="1" a="1"/>
  <c r="J176" i="1" s="1"/>
  <c r="J177" i="1" a="1"/>
  <c r="J177" i="1" s="1"/>
  <c r="J178" i="1" a="1"/>
  <c r="J178" i="1" s="1"/>
  <c r="J179" i="1" a="1"/>
  <c r="J179" i="1" s="1"/>
  <c r="J180" i="1" a="1"/>
  <c r="J180" i="1" s="1"/>
  <c r="J181" i="1" a="1"/>
  <c r="J181" i="1" s="1"/>
  <c r="J182" i="1" a="1"/>
  <c r="J182" i="1" s="1"/>
  <c r="J183" i="1" a="1"/>
  <c r="J183" i="1" s="1"/>
  <c r="J184" i="1" a="1"/>
  <c r="J184" i="1" s="1"/>
  <c r="J185" i="1" a="1"/>
  <c r="J185" i="1" s="1"/>
  <c r="J186" i="1" a="1"/>
  <c r="J186" i="1" s="1"/>
  <c r="J187" i="1" a="1"/>
  <c r="J187" i="1" s="1"/>
  <c r="J188" i="1" a="1"/>
  <c r="J188" i="1" s="1"/>
  <c r="J189" i="1" a="1"/>
  <c r="J189" i="1" s="1"/>
  <c r="J190" i="1" a="1"/>
  <c r="J190" i="1" s="1"/>
  <c r="J191" i="1" a="1"/>
  <c r="J191" i="1" s="1"/>
  <c r="J193" i="1" a="1"/>
  <c r="J193" i="1" s="1"/>
  <c r="J194" i="1" a="1"/>
  <c r="J194" i="1" s="1"/>
  <c r="J195" i="1" a="1"/>
  <c r="J195" i="1" s="1"/>
  <c r="J196" i="1" a="1"/>
  <c r="J196" i="1" s="1"/>
  <c r="J197" i="1" a="1"/>
  <c r="J197" i="1" s="1"/>
  <c r="J198" i="1" a="1"/>
  <c r="J198" i="1" s="1"/>
  <c r="J200" i="1" a="1"/>
  <c r="J200" i="1" s="1"/>
  <c r="J202" i="1" a="1"/>
  <c r="J202" i="1" s="1"/>
  <c r="J203" i="1" a="1"/>
  <c r="J203" i="1" s="1"/>
  <c r="J204" i="1" a="1"/>
  <c r="J204" i="1" s="1"/>
  <c r="J205" i="1" a="1"/>
  <c r="J205" i="1" s="1"/>
  <c r="J206" i="1" a="1"/>
  <c r="J206" i="1" s="1"/>
  <c r="J207" i="1" a="1"/>
  <c r="J207" i="1" s="1"/>
  <c r="J209" i="1" a="1"/>
  <c r="J209" i="1" s="1"/>
  <c r="J210" i="1" a="1"/>
  <c r="J210" i="1" s="1"/>
  <c r="J211" i="1" a="1"/>
  <c r="J211" i="1" s="1"/>
  <c r="J212" i="1" a="1"/>
  <c r="J212" i="1" s="1"/>
  <c r="J213" i="1" a="1"/>
  <c r="J213" i="1" s="1"/>
  <c r="J214" i="1" a="1"/>
  <c r="J214" i="1" s="1"/>
  <c r="J215" i="1" a="1"/>
  <c r="J215" i="1" s="1"/>
  <c r="J216" i="1" a="1"/>
  <c r="J216" i="1" s="1"/>
  <c r="J217" i="1" a="1"/>
  <c r="J217" i="1" s="1"/>
  <c r="J2" i="1" a="1"/>
  <c r="J2" i="1" s="1"/>
  <c r="H9" i="1"/>
  <c r="I9" i="1"/>
  <c r="I198" i="1"/>
  <c r="H198" i="1"/>
  <c r="H193" i="1"/>
  <c r="I193" i="1"/>
  <c r="H165" i="1"/>
  <c r="I165" i="1"/>
  <c r="H130" i="1"/>
  <c r="I130" i="1"/>
  <c r="I74" i="1"/>
  <c r="H74" i="1"/>
  <c r="H11" i="1"/>
  <c r="I11" i="1"/>
  <c r="H168" i="1"/>
  <c r="I168" i="1"/>
  <c r="I78" i="1"/>
  <c r="H78" i="1"/>
  <c r="H22" i="1"/>
  <c r="I22" i="1"/>
  <c r="H133" i="1"/>
  <c r="I133" i="1"/>
  <c r="I216" i="1"/>
  <c r="H216" i="1"/>
  <c r="H170" i="1"/>
  <c r="I170" i="1"/>
  <c r="I110" i="1"/>
  <c r="H110" i="1"/>
  <c r="H35" i="1"/>
  <c r="I35" i="1"/>
  <c r="H56" i="1"/>
  <c r="I56" i="1"/>
  <c r="H167" i="1"/>
  <c r="I167" i="1"/>
  <c r="H21" i="1"/>
  <c r="I21" i="1"/>
  <c r="I190" i="1"/>
  <c r="H190" i="1"/>
  <c r="H142" i="1"/>
  <c r="I142" i="1"/>
  <c r="I118" i="1"/>
  <c r="H118" i="1"/>
  <c r="H111" i="1"/>
  <c r="I111" i="1"/>
  <c r="I33" i="1"/>
  <c r="H33" i="1"/>
  <c r="H6" i="1"/>
  <c r="I6" i="1"/>
  <c r="H64" i="1"/>
  <c r="I64" i="1"/>
  <c r="I77" i="1"/>
  <c r="H77" i="1"/>
  <c r="I166" i="1"/>
  <c r="H166" i="1"/>
  <c r="H206" i="1"/>
  <c r="I206" i="1"/>
  <c r="I196" i="1"/>
  <c r="H196" i="1"/>
  <c r="H147" i="1"/>
  <c r="I147" i="1"/>
  <c r="H96" i="1"/>
  <c r="I96" i="1"/>
  <c r="H63" i="1"/>
  <c r="I63" i="1"/>
  <c r="H38" i="1"/>
  <c r="I38" i="1"/>
  <c r="I207" i="1"/>
  <c r="H207" i="1"/>
  <c r="H191" i="1"/>
  <c r="I191" i="1"/>
  <c r="I205" i="1"/>
  <c r="H205" i="1"/>
  <c r="H155" i="1"/>
  <c r="I155" i="1"/>
  <c r="I143" i="1"/>
  <c r="H143" i="1"/>
  <c r="H107" i="1"/>
  <c r="I107" i="1"/>
  <c r="H85" i="1"/>
  <c r="I85" i="1"/>
  <c r="H47" i="1"/>
  <c r="I47" i="1"/>
  <c r="H32" i="1"/>
  <c r="I32" i="1"/>
  <c r="H42" i="1"/>
  <c r="I42" i="1"/>
  <c r="H81" i="1"/>
  <c r="I81" i="1"/>
  <c r="H13" i="1"/>
  <c r="I13" i="1"/>
  <c r="H27" i="1"/>
  <c r="I27" i="1"/>
  <c r="H106" i="1"/>
  <c r="I106" i="1"/>
  <c r="H180" i="1"/>
  <c r="I180" i="1"/>
  <c r="H214" i="1"/>
  <c r="I214" i="1"/>
  <c r="H174" i="1"/>
  <c r="I174" i="1"/>
  <c r="H178" i="1"/>
  <c r="I178" i="1"/>
  <c r="I136" i="1"/>
  <c r="H136" i="1"/>
  <c r="H152" i="1"/>
  <c r="I152" i="1"/>
  <c r="H121" i="1"/>
  <c r="I121" i="1"/>
  <c r="H112" i="1"/>
  <c r="I112" i="1"/>
  <c r="H65" i="1"/>
  <c r="I65" i="1"/>
  <c r="H18" i="1"/>
  <c r="I18" i="1"/>
  <c r="H19" i="1"/>
  <c r="I19" i="1"/>
  <c r="H24" i="1"/>
  <c r="I24" i="1"/>
  <c r="H204" i="1"/>
  <c r="I204" i="1"/>
  <c r="H100" i="1"/>
  <c r="I100" i="1"/>
  <c r="H79" i="1"/>
  <c r="I79" i="1"/>
  <c r="H80" i="1"/>
  <c r="I80" i="1"/>
  <c r="H17" i="1"/>
  <c r="I17" i="1"/>
  <c r="H203" i="1"/>
  <c r="I203" i="1"/>
  <c r="H30" i="1"/>
  <c r="I30" i="1"/>
  <c r="H45" i="1"/>
  <c r="I45" i="1"/>
  <c r="H36" i="1"/>
  <c r="I36" i="1"/>
  <c r="H37" i="1"/>
  <c r="I37" i="1"/>
  <c r="H43" i="1"/>
  <c r="I43" i="1"/>
  <c r="H39" i="1"/>
  <c r="I39" i="1"/>
  <c r="H40" i="1"/>
  <c r="I40" i="1"/>
  <c r="H41" i="1"/>
  <c r="I41" i="1"/>
  <c r="H44" i="1"/>
  <c r="I44" i="1"/>
  <c r="H46" i="1"/>
  <c r="I46" i="1"/>
  <c r="I2" i="1"/>
  <c r="I217" i="1"/>
  <c r="I215" i="1"/>
  <c r="I213" i="1"/>
  <c r="I212" i="1"/>
  <c r="I211" i="1"/>
  <c r="I210" i="1"/>
  <c r="I209" i="1"/>
  <c r="I202" i="1"/>
  <c r="I200" i="1"/>
  <c r="I197" i="1"/>
  <c r="I195" i="1"/>
  <c r="I194" i="1"/>
  <c r="I189" i="1"/>
  <c r="I188" i="1"/>
  <c r="I187" i="1"/>
  <c r="I186" i="1"/>
  <c r="I185" i="1"/>
  <c r="I184" i="1"/>
  <c r="I183" i="1"/>
  <c r="I182" i="1"/>
  <c r="I181" i="1"/>
  <c r="I179" i="1"/>
  <c r="I177" i="1"/>
  <c r="I176" i="1"/>
  <c r="I173" i="1"/>
  <c r="I172" i="1"/>
  <c r="I171" i="1"/>
  <c r="I169" i="1"/>
  <c r="I164" i="1"/>
  <c r="I163" i="1"/>
  <c r="I161" i="1"/>
  <c r="I160" i="1"/>
  <c r="I159" i="1"/>
  <c r="I157" i="1"/>
  <c r="I156" i="1"/>
  <c r="I154" i="1"/>
  <c r="I153" i="1"/>
  <c r="I151" i="1"/>
  <c r="I150" i="1"/>
  <c r="I149" i="1"/>
  <c r="I148" i="1"/>
  <c r="I146" i="1"/>
  <c r="I145" i="1"/>
  <c r="I144" i="1"/>
  <c r="I141" i="1"/>
  <c r="I140" i="1"/>
  <c r="I139" i="1"/>
  <c r="I138" i="1"/>
  <c r="I137" i="1"/>
  <c r="I135" i="1"/>
  <c r="I134" i="1"/>
  <c r="I132" i="1"/>
  <c r="I131" i="1"/>
  <c r="I129" i="1"/>
  <c r="I128" i="1"/>
  <c r="I127" i="1"/>
  <c r="I126" i="1"/>
  <c r="I125" i="1"/>
  <c r="I55" i="1"/>
  <c r="I124" i="1"/>
  <c r="I123" i="1"/>
  <c r="I120" i="1"/>
  <c r="I119" i="1"/>
  <c r="I117" i="1"/>
  <c r="I116" i="1"/>
  <c r="I115" i="1"/>
  <c r="I114" i="1"/>
  <c r="I113" i="1"/>
  <c r="I109" i="1"/>
  <c r="I108" i="1"/>
  <c r="I105" i="1"/>
  <c r="I104" i="1"/>
  <c r="I103" i="1"/>
  <c r="I102" i="1"/>
  <c r="I101" i="1"/>
  <c r="I99" i="1"/>
  <c r="I98" i="1"/>
  <c r="I97" i="1"/>
  <c r="I95" i="1"/>
  <c r="I94" i="1"/>
  <c r="I93" i="1"/>
  <c r="I92" i="1"/>
  <c r="I91" i="1"/>
  <c r="I90" i="1"/>
  <c r="I89" i="1"/>
  <c r="I88" i="1"/>
  <c r="I87" i="1"/>
  <c r="I84" i="1"/>
  <c r="I83" i="1"/>
  <c r="I82" i="1"/>
  <c r="I76" i="1"/>
  <c r="I75" i="1"/>
  <c r="I73" i="1"/>
  <c r="I72" i="1"/>
  <c r="I71" i="1"/>
  <c r="I70" i="1"/>
  <c r="I69" i="1"/>
  <c r="I68" i="1"/>
  <c r="I67" i="1"/>
  <c r="I66" i="1"/>
  <c r="I62" i="1"/>
  <c r="I61" i="1"/>
  <c r="I60" i="1"/>
  <c r="I58" i="1"/>
  <c r="I57" i="1"/>
  <c r="I54" i="1"/>
  <c r="I53" i="1"/>
  <c r="I52" i="1"/>
  <c r="I51" i="1"/>
  <c r="I50" i="1"/>
  <c r="I48" i="1"/>
  <c r="I31" i="1"/>
  <c r="I29" i="1"/>
  <c r="I28" i="1"/>
  <c r="I26" i="1"/>
  <c r="I25" i="1"/>
  <c r="I23" i="1"/>
  <c r="I16" i="1"/>
  <c r="I15" i="1"/>
  <c r="I14" i="1"/>
  <c r="I12" i="1"/>
  <c r="I10" i="1"/>
  <c r="I8" i="1"/>
  <c r="I7" i="1"/>
  <c r="I4" i="1"/>
  <c r="I3" i="1"/>
  <c r="H202" i="1"/>
  <c r="H182" i="1"/>
  <c r="H173" i="1"/>
  <c r="H161" i="1"/>
  <c r="H151" i="1"/>
  <c r="H146" i="1"/>
  <c r="H129" i="1"/>
  <c r="H131" i="1"/>
  <c r="H132" i="1"/>
  <c r="H134" i="1"/>
  <c r="H114" i="1"/>
  <c r="H115" i="1"/>
  <c r="H116" i="1"/>
  <c r="H117" i="1"/>
  <c r="H119" i="1"/>
  <c r="H120" i="1"/>
  <c r="H123" i="1"/>
  <c r="H101" i="1"/>
  <c r="H89" i="1"/>
  <c r="H48" i="1"/>
  <c r="H73" i="1"/>
  <c r="H12" i="1"/>
  <c r="H95" i="1"/>
  <c r="H189" i="1"/>
  <c r="H159" i="1"/>
  <c r="H164" i="1"/>
  <c r="H138" i="1"/>
  <c r="H150" i="1"/>
  <c r="H102" i="1"/>
  <c r="H113" i="1"/>
  <c r="H3" i="1"/>
  <c r="H4" i="1"/>
  <c r="H7" i="1"/>
  <c r="H8" i="1"/>
  <c r="H10" i="1"/>
  <c r="H14" i="1"/>
  <c r="H15" i="1"/>
  <c r="H16" i="1"/>
  <c r="H23" i="1"/>
  <c r="H25" i="1"/>
  <c r="H26" i="1"/>
  <c r="H28" i="1"/>
  <c r="H29" i="1"/>
  <c r="H31" i="1"/>
  <c r="H50" i="1"/>
  <c r="H51" i="1"/>
  <c r="H52" i="1"/>
  <c r="H53" i="1"/>
  <c r="H54" i="1"/>
  <c r="H57" i="1"/>
  <c r="H58" i="1"/>
  <c r="H60" i="1"/>
  <c r="H61" i="1"/>
  <c r="H62" i="1"/>
  <c r="H66" i="1"/>
  <c r="H67" i="1"/>
  <c r="H68" i="1"/>
  <c r="H69" i="1"/>
  <c r="H70" i="1"/>
  <c r="H71" i="1"/>
  <c r="H72" i="1"/>
  <c r="H75" i="1"/>
  <c r="H76" i="1"/>
  <c r="H82" i="1"/>
  <c r="H83" i="1"/>
  <c r="H84" i="1"/>
  <c r="H87" i="1"/>
  <c r="H88" i="1"/>
  <c r="H90" i="1"/>
  <c r="H91" i="1"/>
  <c r="H92" i="1"/>
  <c r="H93" i="1"/>
  <c r="H94" i="1"/>
  <c r="H97" i="1"/>
  <c r="H98" i="1"/>
  <c r="H99" i="1"/>
  <c r="H103" i="1"/>
  <c r="H104" i="1"/>
  <c r="H105" i="1"/>
  <c r="H108" i="1"/>
  <c r="H109" i="1"/>
  <c r="H124" i="1"/>
  <c r="H55" i="1"/>
  <c r="H125" i="1"/>
  <c r="H126" i="1"/>
  <c r="H127" i="1"/>
  <c r="H128" i="1"/>
  <c r="H135" i="1"/>
  <c r="H137" i="1"/>
  <c r="H139" i="1"/>
  <c r="H140" i="1"/>
  <c r="H141" i="1"/>
  <c r="H144" i="1"/>
  <c r="H145" i="1"/>
  <c r="H148" i="1"/>
  <c r="H149" i="1"/>
  <c r="H153" i="1"/>
  <c r="H154" i="1"/>
  <c r="H156" i="1"/>
  <c r="H157" i="1"/>
  <c r="H160" i="1"/>
  <c r="H163" i="1"/>
  <c r="H169" i="1"/>
  <c r="H171" i="1"/>
  <c r="H172" i="1"/>
  <c r="H176" i="1"/>
  <c r="H177" i="1"/>
  <c r="H179" i="1"/>
  <c r="H181" i="1"/>
  <c r="H183" i="1"/>
  <c r="H184" i="1"/>
  <c r="H185" i="1"/>
  <c r="H186" i="1"/>
  <c r="H187" i="1"/>
  <c r="H188" i="1"/>
  <c r="H194" i="1"/>
  <c r="H195" i="1"/>
  <c r="H197" i="1"/>
  <c r="H200" i="1"/>
  <c r="H209" i="1"/>
  <c r="H210" i="1"/>
  <c r="H211" i="1"/>
  <c r="H212" i="1"/>
  <c r="H213" i="1"/>
  <c r="H215" i="1"/>
  <c r="H217" i="1"/>
  <c r="H2" i="1"/>
  <c r="E163" i="1" l="1"/>
  <c r="E123" i="1"/>
  <c r="E108" i="1"/>
  <c r="E36" i="1"/>
  <c r="E46" i="1"/>
  <c r="E57" i="1"/>
  <c r="E115" i="1"/>
  <c r="E68" i="1"/>
  <c r="E75" i="1"/>
  <c r="E61" i="1"/>
  <c r="E139" i="1"/>
  <c r="E88" i="1"/>
  <c r="E97" i="1"/>
  <c r="E181" i="1"/>
  <c r="E92" i="1"/>
  <c r="E184" i="1"/>
  <c r="E179" i="1"/>
  <c r="E43" i="1"/>
  <c r="E215" i="1"/>
  <c r="E134" i="1"/>
  <c r="E194" i="1"/>
  <c r="E131" i="1"/>
  <c r="E125" i="1"/>
  <c r="E149" i="1"/>
  <c r="E176" i="1"/>
  <c r="E169" i="1"/>
  <c r="E144" i="1"/>
  <c r="E209" i="1"/>
  <c r="E153" i="1"/>
  <c r="E82" i="1"/>
  <c r="E14" i="1"/>
  <c r="E80" i="1"/>
  <c r="E39" i="1"/>
  <c r="E19" i="1"/>
  <c r="E2" i="1"/>
  <c r="E28" i="1"/>
  <c r="E7" i="1"/>
  <c r="E25" i="1"/>
  <c r="J226" i="1"/>
  <c r="K225" i="1" s="1"/>
  <c r="K224" i="1" l="1"/>
  <c r="K223" i="1"/>
  <c r="K222" i="1" s="1"/>
  <c r="K22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天野譲</author>
  </authors>
  <commentList>
    <comment ref="S40" authorId="0" shapeId="0" xr:uid="{13FB2E14-A3C7-4E75-8BC1-0963D859EB50}">
      <text>
        <r>
          <rPr>
            <b/>
            <sz val="9"/>
            <color indexed="81"/>
            <rFont val="MS P ゴシック"/>
            <family val="3"/>
            <charset val="128"/>
          </rPr>
          <t>天野譲:</t>
        </r>
        <r>
          <rPr>
            <sz val="9"/>
            <color indexed="81"/>
            <rFont val="MS P ゴシック"/>
            <family val="3"/>
            <charset val="128"/>
          </rPr>
          <t xml:space="preserve">
正解なし</t>
        </r>
      </text>
    </comment>
    <comment ref="F104" authorId="0" shapeId="0" xr:uid="{2FA29D13-8D9D-4272-888F-226F4FB9FC87}">
      <text>
        <r>
          <rPr>
            <b/>
            <sz val="9"/>
            <color indexed="81"/>
            <rFont val="MS P ゴシック"/>
            <family val="3"/>
            <charset val="128"/>
          </rPr>
          <t>天野譲:</t>
        </r>
        <r>
          <rPr>
            <sz val="9"/>
            <color indexed="81"/>
            <rFont val="MS P ゴシック"/>
            <family val="3"/>
            <charset val="128"/>
          </rPr>
          <t xml:space="preserve">
受信障害として受信機共通にまとめるか？</t>
        </r>
      </text>
    </comment>
    <comment ref="F112" authorId="0" shapeId="0" xr:uid="{E60C258E-1C1E-48A7-919A-BE35A40602D0}">
      <text>
        <r>
          <rPr>
            <b/>
            <sz val="9"/>
            <color indexed="81"/>
            <rFont val="MS P ゴシック"/>
            <family val="3"/>
            <charset val="128"/>
          </rPr>
          <t>天野譲:</t>
        </r>
        <r>
          <rPr>
            <sz val="9"/>
            <color indexed="81"/>
            <rFont val="MS P ゴシック"/>
            <family val="3"/>
            <charset val="128"/>
          </rPr>
          <t xml:space="preserve">
受信障害として受信機共通にまとめるか？</t>
        </r>
      </text>
    </comment>
    <comment ref="F114" authorId="0" shapeId="0" xr:uid="{C700051A-2CBC-4FD8-881E-60BB75D3833D}">
      <text>
        <r>
          <rPr>
            <b/>
            <sz val="9"/>
            <color indexed="81"/>
            <rFont val="MS P ゴシック"/>
            <family val="3"/>
            <charset val="128"/>
          </rPr>
          <t>天野譲:</t>
        </r>
        <r>
          <rPr>
            <sz val="9"/>
            <color indexed="81"/>
            <rFont val="MS P ゴシック"/>
            <family val="3"/>
            <charset val="128"/>
          </rPr>
          <t xml:space="preserve">
受信障害として受信機共通にまとめるか？</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<sst xmlns="http://schemas.openxmlformats.org/spreadsheetml/2006/main" count="1160" uniqueCount="608">
  <si>
    <t>無線工学の基礎</t>
    <rPh sb="0" eb="4">
      <t>ムセンコウガク</t>
    </rPh>
    <rPh sb="5" eb="7">
      <t>キソ</t>
    </rPh>
    <phoneticPr fontId="1"/>
  </si>
  <si>
    <t>コイルの電気的性質</t>
    <rPh sb="4" eb="9">
      <t>デンキテキセイシツ</t>
    </rPh>
    <phoneticPr fontId="1"/>
  </si>
  <si>
    <t>電気物理</t>
    <rPh sb="0" eb="4">
      <t>デンキブツリ</t>
    </rPh>
    <phoneticPr fontId="1"/>
  </si>
  <si>
    <t>論理回路</t>
    <rPh sb="0" eb="4">
      <t>ロンリカイロ</t>
    </rPh>
    <phoneticPr fontId="1"/>
  </si>
  <si>
    <t>暗記／計算</t>
    <rPh sb="0" eb="2">
      <t>アンキ</t>
    </rPh>
    <rPh sb="3" eb="5">
      <t>ケイサン</t>
    </rPh>
    <phoneticPr fontId="1"/>
  </si>
  <si>
    <t>暗記</t>
    <rPh sb="0" eb="2">
      <t>アンキ</t>
    </rPh>
    <phoneticPr fontId="1"/>
  </si>
  <si>
    <t>計算</t>
    <rPh sb="0" eb="2">
      <t>ケイサン</t>
    </rPh>
    <phoneticPr fontId="1"/>
  </si>
  <si>
    <t>無線工学A</t>
    <rPh sb="0" eb="4">
      <t>ムセンコウガク</t>
    </rPh>
    <phoneticPr fontId="1"/>
  </si>
  <si>
    <t>システム</t>
    <phoneticPr fontId="1"/>
  </si>
  <si>
    <t>電池</t>
    <rPh sb="0" eb="2">
      <t>デンチ</t>
    </rPh>
    <phoneticPr fontId="1"/>
  </si>
  <si>
    <t>電源</t>
    <rPh sb="0" eb="2">
      <t>デンゲン</t>
    </rPh>
    <phoneticPr fontId="1"/>
  </si>
  <si>
    <t>中分類</t>
    <rPh sb="0" eb="3">
      <t>チュウブンルイ</t>
    </rPh>
    <phoneticPr fontId="1"/>
  </si>
  <si>
    <t>大分類</t>
    <rPh sb="0" eb="1">
      <t>ダイ</t>
    </rPh>
    <rPh sb="1" eb="3">
      <t>ブンルイ</t>
    </rPh>
    <phoneticPr fontId="1"/>
  </si>
  <si>
    <t>令和7年11月</t>
    <rPh sb="0" eb="2">
      <t>レイワ</t>
    </rPh>
    <rPh sb="3" eb="4">
      <t>ネン</t>
    </rPh>
    <rPh sb="6" eb="7">
      <t>ガツ</t>
    </rPh>
    <phoneticPr fontId="1"/>
  </si>
  <si>
    <t>A1</t>
  </si>
  <si>
    <t>A2</t>
  </si>
  <si>
    <t>A3</t>
  </si>
  <si>
    <t>A4</t>
  </si>
  <si>
    <t>A5</t>
  </si>
  <si>
    <t>A6</t>
  </si>
  <si>
    <t>A7</t>
  </si>
  <si>
    <t>A8</t>
  </si>
  <si>
    <t>A9</t>
  </si>
  <si>
    <t>A10</t>
  </si>
  <si>
    <t>A11</t>
  </si>
  <si>
    <t>A12</t>
  </si>
  <si>
    <t>A13</t>
  </si>
  <si>
    <t>A14</t>
  </si>
  <si>
    <t>A15</t>
  </si>
  <si>
    <t>A16</t>
  </si>
  <si>
    <t>A17</t>
  </si>
  <si>
    <t>無線工学B</t>
    <rPh sb="0" eb="4">
      <t>ムセンコウガク</t>
    </rPh>
    <phoneticPr fontId="1"/>
  </si>
  <si>
    <t>アンテナ</t>
    <phoneticPr fontId="1"/>
  </si>
  <si>
    <t>A18</t>
    <phoneticPr fontId="1"/>
  </si>
  <si>
    <t>給電線</t>
    <rPh sb="0" eb="3">
      <t>キュウデンセン</t>
    </rPh>
    <phoneticPr fontId="1"/>
  </si>
  <si>
    <t>A19</t>
    <phoneticPr fontId="1"/>
  </si>
  <si>
    <t>A20</t>
    <phoneticPr fontId="1"/>
  </si>
  <si>
    <t>電波伝搬</t>
    <rPh sb="0" eb="4">
      <t>デンパデンパン</t>
    </rPh>
    <phoneticPr fontId="1"/>
  </si>
  <si>
    <t>A21</t>
    <phoneticPr fontId="1"/>
  </si>
  <si>
    <t>A22</t>
    <phoneticPr fontId="1"/>
  </si>
  <si>
    <t>A24</t>
    <phoneticPr fontId="1"/>
  </si>
  <si>
    <t>A23</t>
    <phoneticPr fontId="1"/>
  </si>
  <si>
    <t>電気磁気測定</t>
    <rPh sb="0" eb="4">
      <t>デンキジキ</t>
    </rPh>
    <rPh sb="4" eb="6">
      <t>ソクテイ</t>
    </rPh>
    <phoneticPr fontId="1"/>
  </si>
  <si>
    <t>空中線系測定</t>
    <rPh sb="0" eb="4">
      <t>クウチュウセンケイ</t>
    </rPh>
    <rPh sb="4" eb="6">
      <t>ソクテイ</t>
    </rPh>
    <phoneticPr fontId="1"/>
  </si>
  <si>
    <t>A25</t>
    <phoneticPr fontId="1"/>
  </si>
  <si>
    <t>B1</t>
    <phoneticPr fontId="1"/>
  </si>
  <si>
    <t>各種の電気現象</t>
    <rPh sb="0" eb="2">
      <t>カクシュ</t>
    </rPh>
    <rPh sb="3" eb="7">
      <t>デンキゲンショウ</t>
    </rPh>
    <phoneticPr fontId="1"/>
  </si>
  <si>
    <t>B2</t>
    <phoneticPr fontId="1"/>
  </si>
  <si>
    <t>B3</t>
    <phoneticPr fontId="1"/>
  </si>
  <si>
    <t>B4</t>
    <phoneticPr fontId="1"/>
  </si>
  <si>
    <t>B5</t>
    <phoneticPr fontId="1"/>
  </si>
  <si>
    <t>A1</t>
    <phoneticPr fontId="1"/>
  </si>
  <si>
    <t>A2</t>
    <phoneticPr fontId="1"/>
  </si>
  <si>
    <t>A3</t>
    <phoneticPr fontId="1"/>
  </si>
  <si>
    <t>A4</t>
    <phoneticPr fontId="1"/>
  </si>
  <si>
    <t>デシベルを用いた計算</t>
    <rPh sb="5" eb="6">
      <t>モチ</t>
    </rPh>
    <rPh sb="8" eb="10">
      <t>ケイサン</t>
    </rPh>
    <phoneticPr fontId="1"/>
  </si>
  <si>
    <t>A6</t>
    <phoneticPr fontId="1"/>
  </si>
  <si>
    <t>A5</t>
    <phoneticPr fontId="1"/>
  </si>
  <si>
    <t>令和7年5月</t>
    <rPh sb="0" eb="2">
      <t>レイワ</t>
    </rPh>
    <rPh sb="3" eb="4">
      <t>ネン</t>
    </rPh>
    <rPh sb="5" eb="6">
      <t>ガツ</t>
    </rPh>
    <phoneticPr fontId="1"/>
  </si>
  <si>
    <t>A8</t>
    <phoneticPr fontId="1"/>
  </si>
  <si>
    <t>A9</t>
    <phoneticPr fontId="1"/>
  </si>
  <si>
    <t>A10</t>
    <phoneticPr fontId="1"/>
  </si>
  <si>
    <t>A11</t>
    <phoneticPr fontId="1"/>
  </si>
  <si>
    <t>A12</t>
    <phoneticPr fontId="1"/>
  </si>
  <si>
    <t>FM送信機</t>
    <rPh sb="2" eb="5">
      <t>ソウシンキ</t>
    </rPh>
    <phoneticPr fontId="1"/>
  </si>
  <si>
    <t>送信機共通</t>
    <rPh sb="0" eb="5">
      <t>ソウシンキキョウツウ</t>
    </rPh>
    <phoneticPr fontId="1"/>
  </si>
  <si>
    <t>A13</t>
    <phoneticPr fontId="1"/>
  </si>
  <si>
    <t>FM受信機</t>
    <rPh sb="2" eb="5">
      <t>ジュシンキ</t>
    </rPh>
    <phoneticPr fontId="1"/>
  </si>
  <si>
    <t>受信機共通</t>
    <rPh sb="0" eb="3">
      <t>ジュシンキ</t>
    </rPh>
    <rPh sb="3" eb="5">
      <t>キョウツウ</t>
    </rPh>
    <phoneticPr fontId="1"/>
  </si>
  <si>
    <t>A14</t>
    <phoneticPr fontId="1"/>
  </si>
  <si>
    <t>スーパヘテロダイン受信機における中間周波増幅器についての説明</t>
    <rPh sb="9" eb="12">
      <t>ジュシンキ</t>
    </rPh>
    <rPh sb="16" eb="20">
      <t>チュウカンシュウハ</t>
    </rPh>
    <rPh sb="20" eb="23">
      <t>ゾウフクキ</t>
    </rPh>
    <rPh sb="28" eb="30">
      <t>セツメイ</t>
    </rPh>
    <phoneticPr fontId="1"/>
  </si>
  <si>
    <t>A15</t>
    <phoneticPr fontId="1"/>
  </si>
  <si>
    <t>A16</t>
    <phoneticPr fontId="1"/>
  </si>
  <si>
    <t>A17</t>
    <phoneticPr fontId="1"/>
  </si>
  <si>
    <t>鉛蓄電池の浮動充電方式についての説明</t>
    <rPh sb="0" eb="4">
      <t>ナマリチクデンチ</t>
    </rPh>
    <rPh sb="5" eb="11">
      <t>フドウジュウデンホウシキ</t>
    </rPh>
    <rPh sb="16" eb="18">
      <t>セツメイ</t>
    </rPh>
    <phoneticPr fontId="1"/>
  </si>
  <si>
    <t>送受信機測定</t>
    <rPh sb="0" eb="4">
      <t>ソウジュシンキ</t>
    </rPh>
    <rPh sb="4" eb="6">
      <t>ソクテイ</t>
    </rPh>
    <phoneticPr fontId="1"/>
  </si>
  <si>
    <t>FM送信機の占有周波数帯幅の測定方法</t>
    <rPh sb="2" eb="5">
      <t>ソウシンキ</t>
    </rPh>
    <rPh sb="6" eb="11">
      <t>センユウシュウハスウ</t>
    </rPh>
    <rPh sb="11" eb="13">
      <t>タイハバ</t>
    </rPh>
    <rPh sb="14" eb="16">
      <t>ソクテイ</t>
    </rPh>
    <rPh sb="16" eb="18">
      <t>ホウホウ</t>
    </rPh>
    <phoneticPr fontId="1"/>
  </si>
  <si>
    <t>電気・電子部品</t>
    <rPh sb="0" eb="2">
      <t>デンキ</t>
    </rPh>
    <rPh sb="3" eb="5">
      <t>デンシ</t>
    </rPh>
    <rPh sb="5" eb="7">
      <t>ブヒン</t>
    </rPh>
    <phoneticPr fontId="1"/>
  </si>
  <si>
    <t>等価地球半径係数に関する説明</t>
    <rPh sb="0" eb="6">
      <t>トウカチキュウハンケイ</t>
    </rPh>
    <rPh sb="6" eb="8">
      <t>ケイスウ</t>
    </rPh>
    <rPh sb="9" eb="10">
      <t>カン</t>
    </rPh>
    <rPh sb="12" eb="14">
      <t>セツメイ</t>
    </rPh>
    <phoneticPr fontId="1"/>
  </si>
  <si>
    <t>令和6年12月</t>
    <rPh sb="0" eb="2">
      <t>レイワ</t>
    </rPh>
    <rPh sb="3" eb="4">
      <t>ネン</t>
    </rPh>
    <rPh sb="6" eb="7">
      <t>ガツ</t>
    </rPh>
    <phoneticPr fontId="1"/>
  </si>
  <si>
    <t>直列共振回路の共振状態における特性</t>
    <rPh sb="0" eb="2">
      <t>チョクレツ</t>
    </rPh>
    <rPh sb="2" eb="6">
      <t>キョウシンカイロ</t>
    </rPh>
    <rPh sb="7" eb="11">
      <t>キョウシンジョウタイ</t>
    </rPh>
    <rPh sb="15" eb="17">
      <t>トクセイ</t>
    </rPh>
    <phoneticPr fontId="1"/>
  </si>
  <si>
    <t>バイポーラトランジスタの電気的特性</t>
    <rPh sb="12" eb="15">
      <t>デンキテキ</t>
    </rPh>
    <rPh sb="15" eb="17">
      <t>トクセイ</t>
    </rPh>
    <phoneticPr fontId="1"/>
  </si>
  <si>
    <t>A7</t>
    <phoneticPr fontId="1"/>
  </si>
  <si>
    <t>SSB送信機の原理的構成例の各部動作</t>
    <rPh sb="3" eb="6">
      <t>ソウシンキ</t>
    </rPh>
    <rPh sb="7" eb="10">
      <t>ゲンリテキ</t>
    </rPh>
    <rPh sb="10" eb="13">
      <t>コウセイレイ</t>
    </rPh>
    <rPh sb="14" eb="18">
      <t>カクブドウサ</t>
    </rPh>
    <phoneticPr fontId="1"/>
  </si>
  <si>
    <t>混合型</t>
    <rPh sb="0" eb="3">
      <t>コンゴウガタ</t>
    </rPh>
    <phoneticPr fontId="1"/>
  </si>
  <si>
    <t>表皮効果の説明</t>
    <rPh sb="0" eb="4">
      <t>ヒョウヒコウカ</t>
    </rPh>
    <rPh sb="5" eb="7">
      <t>セツメイ</t>
    </rPh>
    <phoneticPr fontId="1"/>
  </si>
  <si>
    <t>受信機の選択度の測定</t>
    <rPh sb="0" eb="3">
      <t>ジュシンキ</t>
    </rPh>
    <rPh sb="4" eb="7">
      <t>センタクド</t>
    </rPh>
    <rPh sb="8" eb="10">
      <t>ソクテイ</t>
    </rPh>
    <phoneticPr fontId="1"/>
  </si>
  <si>
    <t>小分類</t>
    <rPh sb="0" eb="3">
      <t>ショウブンルイ</t>
    </rPh>
    <phoneticPr fontId="1"/>
  </si>
  <si>
    <t>出題内容</t>
    <rPh sb="0" eb="2">
      <t>シュツダイ</t>
    </rPh>
    <rPh sb="2" eb="4">
      <t>ナイヨウ</t>
    </rPh>
    <phoneticPr fontId="1"/>
  </si>
  <si>
    <t>コイル</t>
    <phoneticPr fontId="1"/>
  </si>
  <si>
    <t>抵抗</t>
    <rPh sb="0" eb="2">
      <t>テイコウ</t>
    </rPh>
    <phoneticPr fontId="1"/>
  </si>
  <si>
    <t>数学基礎</t>
    <rPh sb="0" eb="2">
      <t>スウガク</t>
    </rPh>
    <rPh sb="2" eb="4">
      <t>キソ</t>
    </rPh>
    <phoneticPr fontId="1"/>
  </si>
  <si>
    <t>電子回路</t>
    <rPh sb="0" eb="4">
      <t>デンシカイロ</t>
    </rPh>
    <phoneticPr fontId="1"/>
  </si>
  <si>
    <t>HF帯</t>
    <rPh sb="2" eb="3">
      <t>タイ</t>
    </rPh>
    <phoneticPr fontId="1"/>
  </si>
  <si>
    <t>UHF/VHF帯</t>
    <rPh sb="7" eb="8">
      <t>タイ</t>
    </rPh>
    <phoneticPr fontId="1"/>
  </si>
  <si>
    <t>電気回路</t>
    <rPh sb="0" eb="2">
      <t>デンキ</t>
    </rPh>
    <rPh sb="2" eb="4">
      <t>カイロ</t>
    </rPh>
    <phoneticPr fontId="1"/>
  </si>
  <si>
    <t>直列共振回路の周波数特性</t>
    <phoneticPr fontId="1"/>
  </si>
  <si>
    <t>フォトトランジスタの特徴</t>
    <rPh sb="10" eb="12">
      <t>トクチョウ</t>
    </rPh>
    <phoneticPr fontId="1"/>
  </si>
  <si>
    <t>増幅回路の出力電圧計算</t>
    <rPh sb="0" eb="2">
      <t>ゾウフク</t>
    </rPh>
    <rPh sb="2" eb="4">
      <t>カイロ</t>
    </rPh>
    <rPh sb="5" eb="7">
      <t>シュツリョク</t>
    </rPh>
    <rPh sb="7" eb="9">
      <t>デンアツ</t>
    </rPh>
    <rPh sb="9" eb="11">
      <t>ケイサン</t>
    </rPh>
    <phoneticPr fontId="1"/>
  </si>
  <si>
    <t>フリップフロップ回路の動作</t>
    <rPh sb="8" eb="10">
      <t>カイロ</t>
    </rPh>
    <rPh sb="11" eb="13">
      <t>ドウサ</t>
    </rPh>
    <phoneticPr fontId="1"/>
  </si>
  <si>
    <t>スイッチ開閉による直流抵抗回路の電流変化と抵抗値計算</t>
    <phoneticPr fontId="1"/>
  </si>
  <si>
    <t>SSB送信機の局部発振周波数計算</t>
    <phoneticPr fontId="1"/>
  </si>
  <si>
    <t>FM受信機のスレッショルドレベルの特徴</t>
    <rPh sb="2" eb="5">
      <t>ジュシンキ</t>
    </rPh>
    <rPh sb="17" eb="19">
      <t>トクチョウ</t>
    </rPh>
    <phoneticPr fontId="1"/>
  </si>
  <si>
    <t>RTTY通信の動作原理</t>
    <rPh sb="4" eb="6">
      <t>ツウシン</t>
    </rPh>
    <rPh sb="7" eb="9">
      <t>ドウサ</t>
    </rPh>
    <rPh sb="9" eb="11">
      <t>ゲンリ</t>
    </rPh>
    <phoneticPr fontId="1"/>
  </si>
  <si>
    <t>シリコン太陽電池の特徴</t>
    <rPh sb="4" eb="6">
      <t>タイヨウ</t>
    </rPh>
    <rPh sb="6" eb="8">
      <t>デンチ</t>
    </rPh>
    <rPh sb="9" eb="11">
      <t>トクチョウ</t>
    </rPh>
    <phoneticPr fontId="1"/>
  </si>
  <si>
    <t>方形導波管の遮断周波数計算</t>
    <phoneticPr fontId="1"/>
  </si>
  <si>
    <t>PLL回路の構成と原理</t>
    <rPh sb="3" eb="5">
      <t>カイロ</t>
    </rPh>
    <rPh sb="6" eb="8">
      <t>コウセイ</t>
    </rPh>
    <rPh sb="9" eb="11">
      <t>ゲンリ</t>
    </rPh>
    <phoneticPr fontId="1"/>
  </si>
  <si>
    <t>整流回路の動作と特性</t>
    <rPh sb="0" eb="2">
      <t>セイリュウ</t>
    </rPh>
    <rPh sb="2" eb="4">
      <t>カイロ</t>
    </rPh>
    <rPh sb="5" eb="7">
      <t>ドウサ</t>
    </rPh>
    <rPh sb="8" eb="10">
      <t>トクセイ</t>
    </rPh>
    <phoneticPr fontId="1"/>
  </si>
  <si>
    <t>スプリアス発射・不要発射の強度測定</t>
    <rPh sb="5" eb="7">
      <t>ハッシャ</t>
    </rPh>
    <rPh sb="8" eb="10">
      <t>フヨウ</t>
    </rPh>
    <rPh sb="10" eb="12">
      <t>ハッシャ</t>
    </rPh>
    <rPh sb="13" eb="15">
      <t>キョウド</t>
    </rPh>
    <rPh sb="15" eb="17">
      <t>ソクテイ</t>
    </rPh>
    <phoneticPr fontId="1"/>
  </si>
  <si>
    <t>周波数カウンタの動作原理と測定誤差</t>
    <rPh sb="0" eb="3">
      <t>シュウハスウ</t>
    </rPh>
    <rPh sb="8" eb="10">
      <t>ドウサ</t>
    </rPh>
    <rPh sb="10" eb="12">
      <t>ゲンリ</t>
    </rPh>
    <rPh sb="13" eb="15">
      <t>ソクテイ</t>
    </rPh>
    <rPh sb="15" eb="17">
      <t>ゴサ</t>
    </rPh>
    <phoneticPr fontId="1"/>
  </si>
  <si>
    <t>空中線系における各種測定方法</t>
    <rPh sb="0" eb="3">
      <t>クウチュウセン</t>
    </rPh>
    <rPh sb="3" eb="4">
      <t>ケイ</t>
    </rPh>
    <rPh sb="8" eb="10">
      <t>カクシュ</t>
    </rPh>
    <rPh sb="10" eb="12">
      <t>ソクテイ</t>
    </rPh>
    <rPh sb="12" eb="14">
      <t>ホウホウ</t>
    </rPh>
    <phoneticPr fontId="1"/>
  </si>
  <si>
    <t>高調波発射防止用フィルタの使用方法</t>
    <rPh sb="0" eb="3">
      <t>コウチョウハ</t>
    </rPh>
    <rPh sb="3" eb="5">
      <t>ハッシャ</t>
    </rPh>
    <rPh sb="5" eb="8">
      <t>ボウシヨウ</t>
    </rPh>
    <rPh sb="13" eb="15">
      <t>シヨウ</t>
    </rPh>
    <rPh sb="15" eb="17">
      <t>ホウホウ</t>
    </rPh>
    <phoneticPr fontId="1"/>
  </si>
  <si>
    <t>令和8年5月</t>
    <rPh sb="0" eb="2">
      <t>レイワ</t>
    </rPh>
    <rPh sb="3" eb="4">
      <t>ネン</t>
    </rPh>
    <rPh sb="5" eb="6">
      <t>ガツ</t>
    </rPh>
    <phoneticPr fontId="1"/>
  </si>
  <si>
    <t>各種コンデンサの構造・用途・特性</t>
    <rPh sb="0" eb="2">
      <t>カクシュ</t>
    </rPh>
    <phoneticPr fontId="1"/>
  </si>
  <si>
    <t>A1</t>
    <phoneticPr fontId="1"/>
  </si>
  <si>
    <t>RC回路の皮相電力・有効電力・力率の計算</t>
    <rPh sb="2" eb="4">
      <t>カイロ</t>
    </rPh>
    <rPh sb="5" eb="7">
      <t>ヒソウ</t>
    </rPh>
    <rPh sb="7" eb="9">
      <t>デンリョク</t>
    </rPh>
    <rPh sb="10" eb="12">
      <t>ユウコウ</t>
    </rPh>
    <rPh sb="12" eb="14">
      <t>デンリョク</t>
    </rPh>
    <rPh sb="15" eb="17">
      <t>リキリツ</t>
    </rPh>
    <rPh sb="18" eb="20">
      <t>ケイサン</t>
    </rPh>
    <phoneticPr fontId="1"/>
  </si>
  <si>
    <t>A3</t>
    <phoneticPr fontId="1"/>
  </si>
  <si>
    <t>A4</t>
    <phoneticPr fontId="1"/>
  </si>
  <si>
    <t>フィルタ回路</t>
    <rPh sb="4" eb="6">
      <t>カイロ</t>
    </rPh>
    <phoneticPr fontId="1"/>
  </si>
  <si>
    <t>LCフィルタ回路の特性と遮断周波数</t>
    <phoneticPr fontId="1"/>
  </si>
  <si>
    <t>複数電源を含む直流回路の電流計算</t>
    <rPh sb="0" eb="2">
      <t>フクスウ</t>
    </rPh>
    <rPh sb="2" eb="4">
      <t>デンゲン</t>
    </rPh>
    <rPh sb="5" eb="6">
      <t>フク</t>
    </rPh>
    <rPh sb="7" eb="9">
      <t>チョクリュウ</t>
    </rPh>
    <rPh sb="9" eb="11">
      <t>カイロ</t>
    </rPh>
    <rPh sb="12" eb="14">
      <t>デンリュウ</t>
    </rPh>
    <rPh sb="14" eb="16">
      <t>ケイサン</t>
    </rPh>
    <phoneticPr fontId="1"/>
  </si>
  <si>
    <t>A5</t>
    <phoneticPr fontId="1"/>
  </si>
  <si>
    <t>増幅回路</t>
    <rPh sb="0" eb="4">
      <t>ゾウフクカイロ</t>
    </rPh>
    <phoneticPr fontId="1"/>
  </si>
  <si>
    <t>サイリスタの特徴</t>
    <rPh sb="6" eb="8">
      <t>トクチョウ</t>
    </rPh>
    <phoneticPr fontId="1"/>
  </si>
  <si>
    <t>A6</t>
    <phoneticPr fontId="1"/>
  </si>
  <si>
    <t>トランジスタの電圧電流特性表からのエミッタ接地電流増幅率の計算</t>
    <phoneticPr fontId="1"/>
  </si>
  <si>
    <t>A7</t>
    <phoneticPr fontId="1"/>
  </si>
  <si>
    <t>A8</t>
    <phoneticPr fontId="1"/>
  </si>
  <si>
    <t>論理回路の真理値表</t>
    <phoneticPr fontId="1"/>
  </si>
  <si>
    <t>A9</t>
    <phoneticPr fontId="1"/>
  </si>
  <si>
    <t>デジタル通信</t>
    <rPh sb="4" eb="6">
      <t>ツウシン</t>
    </rPh>
    <phoneticPr fontId="1"/>
  </si>
  <si>
    <t>PLL回路</t>
    <rPh sb="3" eb="5">
      <t>カイロ</t>
    </rPh>
    <phoneticPr fontId="1"/>
  </si>
  <si>
    <t>電力増幅器と整合器を含む構成での電力利得の計算</t>
    <phoneticPr fontId="1"/>
  </si>
  <si>
    <t>A11</t>
    <phoneticPr fontId="1"/>
  </si>
  <si>
    <t>高周波増幅部の同調回路における最低受信周波数とインダクタンスの計算</t>
    <phoneticPr fontId="1"/>
  </si>
  <si>
    <t>A13</t>
    <phoneticPr fontId="1"/>
  </si>
  <si>
    <t>スーパヘテロダイン受信機の影像周波数妨害の発生原理とその対策</t>
    <rPh sb="9" eb="12">
      <t>ジュシンキ</t>
    </rPh>
    <rPh sb="13" eb="15">
      <t>エイゾウ</t>
    </rPh>
    <rPh sb="15" eb="18">
      <t>シュウハスウ</t>
    </rPh>
    <rPh sb="18" eb="20">
      <t>ボウガイ</t>
    </rPh>
    <rPh sb="21" eb="25">
      <t>ハッセイゲンリ</t>
    </rPh>
    <rPh sb="28" eb="30">
      <t>タイサク</t>
    </rPh>
    <phoneticPr fontId="1"/>
  </si>
  <si>
    <t>スーパヘテロダイン受信機の影像周波数混信軽減対策</t>
    <phoneticPr fontId="1"/>
  </si>
  <si>
    <t>A14</t>
    <phoneticPr fontId="1"/>
  </si>
  <si>
    <t>電波障害対策</t>
    <rPh sb="0" eb="4">
      <t>デンパショウガイ</t>
    </rPh>
    <rPh sb="4" eb="6">
      <t>タイサク</t>
    </rPh>
    <phoneticPr fontId="1"/>
  </si>
  <si>
    <t>コモンモード電流による不要発射の発生原因とフェライトコアフィルタによる対策</t>
    <rPh sb="6" eb="8">
      <t>デンリュウ</t>
    </rPh>
    <rPh sb="11" eb="13">
      <t>フヨウ</t>
    </rPh>
    <rPh sb="13" eb="15">
      <t>ハッシャ</t>
    </rPh>
    <rPh sb="16" eb="18">
      <t>ハッセイ</t>
    </rPh>
    <rPh sb="18" eb="20">
      <t>ゲンイン</t>
    </rPh>
    <rPh sb="35" eb="37">
      <t>タイサク</t>
    </rPh>
    <phoneticPr fontId="1"/>
  </si>
  <si>
    <t>A15</t>
    <phoneticPr fontId="1"/>
  </si>
  <si>
    <t>ニッケル水素蓄電池の特徴</t>
    <rPh sb="4" eb="6">
      <t>スイソ</t>
    </rPh>
    <rPh sb="6" eb="9">
      <t>チクデンチ</t>
    </rPh>
    <rPh sb="10" eb="12">
      <t>トクチョウ</t>
    </rPh>
    <phoneticPr fontId="1"/>
  </si>
  <si>
    <t>A16</t>
    <phoneticPr fontId="1"/>
  </si>
  <si>
    <t>定電圧回路</t>
    <rPh sb="0" eb="5">
      <t>テイデンアツカイロ</t>
    </rPh>
    <phoneticPr fontId="1"/>
  </si>
  <si>
    <t>整流回路</t>
    <rPh sb="0" eb="4">
      <t>セイリュウカイロ</t>
    </rPh>
    <phoneticPr fontId="1"/>
  </si>
  <si>
    <t>電源共通</t>
    <rPh sb="0" eb="2">
      <t>デンゲン</t>
    </rPh>
    <rPh sb="2" eb="4">
      <t>キョウツウ</t>
    </rPh>
    <phoneticPr fontId="1"/>
  </si>
  <si>
    <t>A17</t>
    <phoneticPr fontId="1"/>
  </si>
  <si>
    <t>A19</t>
    <phoneticPr fontId="1"/>
  </si>
  <si>
    <t>A18</t>
    <phoneticPr fontId="1"/>
  </si>
  <si>
    <t>スイッチング電源回路の説明</t>
    <rPh sb="11" eb="13">
      <t>セツメイ</t>
    </rPh>
    <phoneticPr fontId="1"/>
  </si>
  <si>
    <t>定電圧回路の許容電流計算</t>
    <rPh sb="0" eb="3">
      <t>テイデンアツ</t>
    </rPh>
    <rPh sb="3" eb="5">
      <t>カイロ</t>
    </rPh>
    <rPh sb="6" eb="8">
      <t>キョヨウ</t>
    </rPh>
    <rPh sb="8" eb="10">
      <t>デンリュウ</t>
    </rPh>
    <rPh sb="10" eb="12">
      <t>ケイサン</t>
    </rPh>
    <phoneticPr fontId="1"/>
  </si>
  <si>
    <t>定電圧回路の動作原理と許容電流の計算</t>
    <rPh sb="0" eb="3">
      <t>テイデンアツ</t>
    </rPh>
    <rPh sb="3" eb="5">
      <t>カイロ</t>
    </rPh>
    <rPh sb="6" eb="8">
      <t>ドウサ</t>
    </rPh>
    <rPh sb="8" eb="10">
      <t>ゲンリ</t>
    </rPh>
    <rPh sb="11" eb="13">
      <t>キョヨウ</t>
    </rPh>
    <rPh sb="13" eb="15">
      <t>デンリュウ</t>
    </rPh>
    <rPh sb="16" eb="18">
      <t>ケイサン</t>
    </rPh>
    <phoneticPr fontId="1"/>
  </si>
  <si>
    <t>定電圧回路の動作原理</t>
    <rPh sb="0" eb="3">
      <t>テイデンアツ</t>
    </rPh>
    <rPh sb="3" eb="5">
      <t>カイロ</t>
    </rPh>
    <rPh sb="6" eb="8">
      <t>ドウサ</t>
    </rPh>
    <rPh sb="8" eb="10">
      <t>ゲンリ</t>
    </rPh>
    <phoneticPr fontId="1"/>
  </si>
  <si>
    <t>半波長ダイポールアンテナの特徴</t>
    <rPh sb="0" eb="3">
      <t>ハンハチョウ</t>
    </rPh>
    <rPh sb="13" eb="15">
      <t>トクチョウ</t>
    </rPh>
    <phoneticPr fontId="1"/>
  </si>
  <si>
    <t>ターンスタイルアンテナの特徴</t>
    <rPh sb="12" eb="14">
      <t>トクチョウ</t>
    </rPh>
    <phoneticPr fontId="1"/>
  </si>
  <si>
    <t>バランによる平衡不平衡変換回路の動作原理とトリファイラ巻きの特性</t>
    <phoneticPr fontId="1"/>
  </si>
  <si>
    <t>A20</t>
    <phoneticPr fontId="1"/>
  </si>
  <si>
    <t>山岳回折伝搬の電界強度とフェージング特性</t>
    <rPh sb="0" eb="2">
      <t>サンガク</t>
    </rPh>
    <rPh sb="2" eb="4">
      <t>カイセツ</t>
    </rPh>
    <rPh sb="4" eb="6">
      <t>デンパン</t>
    </rPh>
    <rPh sb="7" eb="9">
      <t>デンカイ</t>
    </rPh>
    <rPh sb="9" eb="11">
      <t>キョウド</t>
    </rPh>
    <rPh sb="18" eb="20">
      <t>トクセイ</t>
    </rPh>
    <phoneticPr fontId="1"/>
  </si>
  <si>
    <t>A22</t>
    <phoneticPr fontId="1"/>
  </si>
  <si>
    <t>マッチング</t>
    <phoneticPr fontId="1"/>
  </si>
  <si>
    <t>同軸ケーブル</t>
    <rPh sb="0" eb="2">
      <t>ドウジク</t>
    </rPh>
    <phoneticPr fontId="1"/>
  </si>
  <si>
    <t>半波長ダイポールと八木・宇田アンテナの給電電力比からの相対利得の計算</t>
    <phoneticPr fontId="1"/>
  </si>
  <si>
    <t>A21</t>
    <phoneticPr fontId="1"/>
  </si>
  <si>
    <t>A23</t>
    <phoneticPr fontId="1"/>
  </si>
  <si>
    <t>A24</t>
    <phoneticPr fontId="1"/>
  </si>
  <si>
    <t>減衰器通過後の電力計指示値からの送信機出力電力の計算</t>
    <phoneticPr fontId="1"/>
  </si>
  <si>
    <t>A25</t>
    <phoneticPr fontId="1"/>
  </si>
  <si>
    <t>エミッタホロワ増幅回路の説明</t>
    <rPh sb="12" eb="14">
      <t>セツメイ</t>
    </rPh>
    <phoneticPr fontId="1"/>
  </si>
  <si>
    <t>B2</t>
    <phoneticPr fontId="1"/>
  </si>
  <si>
    <t>整流形電流計の動作原理</t>
    <phoneticPr fontId="1"/>
  </si>
  <si>
    <t>B3</t>
    <phoneticPr fontId="1"/>
  </si>
  <si>
    <t>短波帯（HF）における電離層伝搬の特徴</t>
    <rPh sb="0" eb="3">
      <t>タンパタイ</t>
    </rPh>
    <rPh sb="11" eb="16">
      <t>デンリソウデンパン</t>
    </rPh>
    <rPh sb="17" eb="19">
      <t>トクチョウ</t>
    </rPh>
    <phoneticPr fontId="1"/>
  </si>
  <si>
    <t>測定</t>
    <rPh sb="0" eb="2">
      <t>ソクテイ</t>
    </rPh>
    <phoneticPr fontId="1"/>
  </si>
  <si>
    <t>（工学基礎）</t>
    <rPh sb="1" eb="3">
      <t>コウガク</t>
    </rPh>
    <rPh sb="3" eb="5">
      <t>キソ</t>
    </rPh>
    <phoneticPr fontId="1"/>
  </si>
  <si>
    <t>（工学A）</t>
    <rPh sb="1" eb="3">
      <t>コウガク</t>
    </rPh>
    <phoneticPr fontId="1"/>
  </si>
  <si>
    <t>（工学B）</t>
    <rPh sb="1" eb="3">
      <t>コウガク</t>
    </rPh>
    <phoneticPr fontId="1"/>
  </si>
  <si>
    <t>コンデンサ直列接続時の最大印加電圧計算</t>
    <phoneticPr fontId="1"/>
  </si>
  <si>
    <t>炭素被膜固定抵抗器および金属皮膜抵抗器の特徴</t>
    <rPh sb="0" eb="6">
      <t>タンソヒマクコテイ</t>
    </rPh>
    <rPh sb="6" eb="9">
      <t>テイコウキ</t>
    </rPh>
    <rPh sb="12" eb="14">
      <t>キンゾク</t>
    </rPh>
    <rPh sb="14" eb="16">
      <t>ヒマク</t>
    </rPh>
    <rPh sb="16" eb="19">
      <t>テイコウキ</t>
    </rPh>
    <rPh sb="20" eb="22">
      <t>トクチョウ</t>
    </rPh>
    <phoneticPr fontId="1"/>
  </si>
  <si>
    <t>RC直列回路の過渡現象</t>
    <rPh sb="2" eb="6">
      <t>チョクレツカイロ</t>
    </rPh>
    <rPh sb="7" eb="11">
      <t>カトゲンショウ</t>
    </rPh>
    <phoneticPr fontId="1"/>
  </si>
  <si>
    <t>コイルを用いた雑音減衰回路の必要インダクタンス計算</t>
    <rPh sb="4" eb="5">
      <t>モチ</t>
    </rPh>
    <rPh sb="7" eb="9">
      <t>ザツオン</t>
    </rPh>
    <rPh sb="9" eb="11">
      <t>ゲンスイ</t>
    </rPh>
    <rPh sb="11" eb="13">
      <t>カイロ</t>
    </rPh>
    <rPh sb="14" eb="16">
      <t>ヒツヨウ</t>
    </rPh>
    <rPh sb="23" eb="25">
      <t>ケイサン</t>
    </rPh>
    <phoneticPr fontId="1"/>
  </si>
  <si>
    <t>サーミスタの特徴</t>
    <rPh sb="6" eb="8">
      <t>トクチョウ</t>
    </rPh>
    <phoneticPr fontId="1"/>
  </si>
  <si>
    <t>同軸避雷器のサージ防護デバイスの動作原理</t>
    <rPh sb="0" eb="2">
      <t>ドウジク</t>
    </rPh>
    <rPh sb="2" eb="5">
      <t>ヒライキ</t>
    </rPh>
    <rPh sb="9" eb="11">
      <t>ボウゴ</t>
    </rPh>
    <rPh sb="16" eb="18">
      <t>ドウサ</t>
    </rPh>
    <rPh sb="18" eb="20">
      <t>ゲンリ</t>
    </rPh>
    <phoneticPr fontId="1"/>
  </si>
  <si>
    <t>移相形CR発振回路の発振周波数計算</t>
    <rPh sb="0" eb="2">
      <t>イソウ</t>
    </rPh>
    <rPh sb="2" eb="3">
      <t>カタチ</t>
    </rPh>
    <rPh sb="5" eb="7">
      <t>ハッシン</t>
    </rPh>
    <rPh sb="7" eb="9">
      <t>カイロ</t>
    </rPh>
    <rPh sb="10" eb="12">
      <t>ハッシン</t>
    </rPh>
    <rPh sb="12" eb="15">
      <t>シュウハスウ</t>
    </rPh>
    <rPh sb="15" eb="17">
      <t>ケイサン</t>
    </rPh>
    <phoneticPr fontId="1"/>
  </si>
  <si>
    <t>FPGA・DSPを用いたデジタル信号処理回路の特徴</t>
    <rPh sb="9" eb="10">
      <t>モチ</t>
    </rPh>
    <rPh sb="16" eb="18">
      <t>シンゴウ</t>
    </rPh>
    <rPh sb="18" eb="20">
      <t>ショリ</t>
    </rPh>
    <rPh sb="20" eb="22">
      <t>カイロ</t>
    </rPh>
    <rPh sb="23" eb="25">
      <t>トクチョウ</t>
    </rPh>
    <phoneticPr fontId="1"/>
  </si>
  <si>
    <t>直接周波数変調方式を用いたFM送信機の構成</t>
    <phoneticPr fontId="1"/>
  </si>
  <si>
    <t>スプリアス発射の発生原因と対策</t>
    <rPh sb="5" eb="7">
      <t>ハッシャ</t>
    </rPh>
    <rPh sb="8" eb="10">
      <t>ハッセイ</t>
    </rPh>
    <rPh sb="10" eb="12">
      <t>ゲンイン</t>
    </rPh>
    <rPh sb="13" eb="15">
      <t>タイサク</t>
    </rPh>
    <phoneticPr fontId="1"/>
  </si>
  <si>
    <t>DSB・SSB・FM受信機の復調回路の特徴と動作原理</t>
    <rPh sb="10" eb="13">
      <t>ジュシンキ</t>
    </rPh>
    <rPh sb="14" eb="16">
      <t>フクチョウ</t>
    </rPh>
    <rPh sb="16" eb="18">
      <t>カイロ</t>
    </rPh>
    <rPh sb="19" eb="21">
      <t>トクチョウ</t>
    </rPh>
    <rPh sb="22" eb="24">
      <t>ドウサ</t>
    </rPh>
    <rPh sb="24" eb="26">
      <t>ゲンリ</t>
    </rPh>
    <phoneticPr fontId="1"/>
  </si>
  <si>
    <t>八木アンテナのスタック構成における利得計算</t>
    <rPh sb="0" eb="2">
      <t>ヤギ</t>
    </rPh>
    <rPh sb="11" eb="13">
      <t>コウセイ</t>
    </rPh>
    <rPh sb="17" eb="19">
      <t>リトク</t>
    </rPh>
    <rPh sb="19" eb="21">
      <t>ケイサン</t>
    </rPh>
    <phoneticPr fontId="1"/>
  </si>
  <si>
    <t>U形バランのうかい線路長・位相遅れ・インピーダンス変換比の特性</t>
    <rPh sb="1" eb="2">
      <t>ガタ</t>
    </rPh>
    <rPh sb="9" eb="11">
      <t>センロ</t>
    </rPh>
    <rPh sb="11" eb="12">
      <t>チョウ</t>
    </rPh>
    <rPh sb="13" eb="15">
      <t>イソウ</t>
    </rPh>
    <rPh sb="15" eb="16">
      <t>オク</t>
    </rPh>
    <rPh sb="25" eb="27">
      <t>ヘンカン</t>
    </rPh>
    <rPh sb="27" eb="28">
      <t>ヒ</t>
    </rPh>
    <rPh sb="29" eb="31">
      <t>トクセイ</t>
    </rPh>
    <phoneticPr fontId="1"/>
  </si>
  <si>
    <t>標準大気における見通し距離とアンテナ高さの関係計算</t>
    <rPh sb="0" eb="2">
      <t>ヒョウジュン</t>
    </rPh>
    <rPh sb="2" eb="4">
      <t>タイキ</t>
    </rPh>
    <rPh sb="8" eb="10">
      <t>ミトオ</t>
    </rPh>
    <rPh sb="11" eb="13">
      <t>キョリ</t>
    </rPh>
    <rPh sb="18" eb="19">
      <t>タカ</t>
    </rPh>
    <rPh sb="21" eb="23">
      <t>カンケイ</t>
    </rPh>
    <rPh sb="23" eb="25">
      <t>ケイサン</t>
    </rPh>
    <phoneticPr fontId="1"/>
  </si>
  <si>
    <t>オシロスコープによるリサジュー図と位相差の対応関係</t>
    <rPh sb="21" eb="23">
      <t>タイオウ</t>
    </rPh>
    <rPh sb="23" eb="25">
      <t>カンケイ</t>
    </rPh>
    <phoneticPr fontId="1"/>
  </si>
  <si>
    <t>オペアンプを用いた増幅回路の特徴</t>
    <rPh sb="6" eb="7">
      <t>モチ</t>
    </rPh>
    <rPh sb="9" eb="13">
      <t>ゾウフクカイロ</t>
    </rPh>
    <rPh sb="14" eb="16">
      <t>トクチョウ</t>
    </rPh>
    <phoneticPr fontId="1"/>
  </si>
  <si>
    <t>同軸ケーブルについての説明</t>
    <rPh sb="0" eb="2">
      <t>ドウジク</t>
    </rPh>
    <rPh sb="11" eb="13">
      <t>セツメイ</t>
    </rPh>
    <phoneticPr fontId="1"/>
  </si>
  <si>
    <t>環状鉄心にコイルを巻いたときの比透磁率の計算</t>
    <rPh sb="0" eb="2">
      <t>カンジョウ</t>
    </rPh>
    <rPh sb="2" eb="4">
      <t>テッシン</t>
    </rPh>
    <rPh sb="9" eb="10">
      <t>マ</t>
    </rPh>
    <rPh sb="15" eb="16">
      <t>ヒ</t>
    </rPh>
    <rPh sb="16" eb="19">
      <t>トウジリツ</t>
    </rPh>
    <rPh sb="20" eb="22">
      <t>ケイサン</t>
    </rPh>
    <phoneticPr fontId="1"/>
  </si>
  <si>
    <t>π形抵抗減衰器の減衰量計算</t>
    <phoneticPr fontId="1"/>
  </si>
  <si>
    <t>ダーリントン接続における電流増幅の特性</t>
    <rPh sb="6" eb="8">
      <t>セツゾク</t>
    </rPh>
    <rPh sb="12" eb="16">
      <t>デンリ</t>
    </rPh>
    <rPh sb="17" eb="19">
      <t>トクセイ</t>
    </rPh>
    <phoneticPr fontId="1"/>
  </si>
  <si>
    <t>FET等価回路の電圧増幅度の計算</t>
    <rPh sb="3" eb="5">
      <t>トウカ</t>
    </rPh>
    <rPh sb="5" eb="7">
      <t>カイロ</t>
    </rPh>
    <rPh sb="8" eb="10">
      <t>デンアツ</t>
    </rPh>
    <rPh sb="10" eb="12">
      <t>ゾウフク</t>
    </rPh>
    <rPh sb="12" eb="13">
      <t>ド</t>
    </rPh>
    <rPh sb="14" eb="16">
      <t>ケイサン</t>
    </rPh>
    <phoneticPr fontId="1"/>
  </si>
  <si>
    <t>増幅回路の雑音指数についての説明</t>
    <rPh sb="0" eb="2">
      <t>ゾウフク</t>
    </rPh>
    <rPh sb="2" eb="4">
      <t>カイロ</t>
    </rPh>
    <rPh sb="5" eb="7">
      <t>ザツオン</t>
    </rPh>
    <rPh sb="7" eb="9">
      <t>シスウ</t>
    </rPh>
    <rPh sb="14" eb="16">
      <t>セツメイ</t>
    </rPh>
    <phoneticPr fontId="1"/>
  </si>
  <si>
    <t>ダイオードを直列接続したときの電圧・電流特性</t>
    <rPh sb="6" eb="8">
      <t>チョクレツ</t>
    </rPh>
    <rPh sb="8" eb="10">
      <t>セツゾク</t>
    </rPh>
    <rPh sb="15" eb="17">
      <t>デンアツ</t>
    </rPh>
    <rPh sb="18" eb="20">
      <t>デンリュウ</t>
    </rPh>
    <rPh sb="20" eb="22">
      <t>トクセイ</t>
    </rPh>
    <phoneticPr fontId="1"/>
  </si>
  <si>
    <t>可変容量ダイオードを用いた直接FM変調回路の動作</t>
    <rPh sb="0" eb="2">
      <t>カヘン</t>
    </rPh>
    <rPh sb="2" eb="4">
      <t>ヨウリョウ</t>
    </rPh>
    <rPh sb="10" eb="11">
      <t>モチ</t>
    </rPh>
    <rPh sb="13" eb="15">
      <t>チョクセツ</t>
    </rPh>
    <rPh sb="17" eb="19">
      <t>ヘンチョウ</t>
    </rPh>
    <rPh sb="19" eb="21">
      <t>カイロ</t>
    </rPh>
    <rPh sb="22" eb="24">
      <t>ドウサ</t>
    </rPh>
    <phoneticPr fontId="1"/>
  </si>
  <si>
    <t>PLL回路の用いた周波数シンセサイザ発振器における出力周波数計算</t>
    <rPh sb="3" eb="5">
      <t>カイロ</t>
    </rPh>
    <phoneticPr fontId="1"/>
  </si>
  <si>
    <t>SDR受信機における直交ミクサ（乗算器）によるSSB復調の原理</t>
    <rPh sb="3" eb="6">
      <t>ジュシンキ</t>
    </rPh>
    <rPh sb="10" eb="12">
      <t>チョッコウ</t>
    </rPh>
    <rPh sb="16" eb="18">
      <t>ジョウザン</t>
    </rPh>
    <rPh sb="18" eb="19">
      <t>キ</t>
    </rPh>
    <rPh sb="26" eb="28">
      <t>フクチョウ</t>
    </rPh>
    <rPh sb="29" eb="31">
      <t>ゲンリ</t>
    </rPh>
    <phoneticPr fontId="1"/>
  </si>
  <si>
    <t>FM受信機の動作および回路等の特徴</t>
    <rPh sb="2" eb="5">
      <t>ジュシンキ</t>
    </rPh>
    <rPh sb="6" eb="8">
      <t>ドウサ</t>
    </rPh>
    <rPh sb="11" eb="13">
      <t>カイロ</t>
    </rPh>
    <rPh sb="13" eb="14">
      <t>トウ</t>
    </rPh>
    <rPh sb="15" eb="17">
      <t>トクチョウ</t>
    </rPh>
    <phoneticPr fontId="1"/>
  </si>
  <si>
    <t>FT8・FT4・JT65等の弱信号デジタル通信方式の特徴</t>
    <rPh sb="12" eb="13">
      <t>トウ</t>
    </rPh>
    <rPh sb="14" eb="15">
      <t>ジャク</t>
    </rPh>
    <rPh sb="15" eb="17">
      <t>シンゴウ</t>
    </rPh>
    <rPh sb="21" eb="23">
      <t>ツウシン</t>
    </rPh>
    <rPh sb="23" eb="25">
      <t>ホウシキ</t>
    </rPh>
    <rPh sb="26" eb="28">
      <t>トクチョウ</t>
    </rPh>
    <phoneticPr fontId="1"/>
  </si>
  <si>
    <t>リプル含有率の計算</t>
    <rPh sb="3" eb="6">
      <t>ガンユウリツ</t>
    </rPh>
    <rPh sb="7" eb="9">
      <t>ケイサン</t>
    </rPh>
    <phoneticPr fontId="1"/>
  </si>
  <si>
    <t>ヘンテナの構造および特徴</t>
    <rPh sb="5" eb="7">
      <t>コウゾウ</t>
    </rPh>
    <rPh sb="10" eb="12">
      <t>トクチョウ</t>
    </rPh>
    <phoneticPr fontId="1"/>
  </si>
  <si>
    <t>同軸トラップの長さと基本波・第2高調波に対するインピーダンス特性</t>
    <rPh sb="0" eb="2">
      <t>ドウジク</t>
    </rPh>
    <rPh sb="7" eb="8">
      <t>ナガ</t>
    </rPh>
    <rPh sb="10" eb="12">
      <t>キホン</t>
    </rPh>
    <rPh sb="12" eb="13">
      <t>ハ</t>
    </rPh>
    <rPh sb="14" eb="15">
      <t>ダイ</t>
    </rPh>
    <rPh sb="16" eb="19">
      <t>コウチョウハ</t>
    </rPh>
    <rPh sb="20" eb="21">
      <t>タイ</t>
    </rPh>
    <rPh sb="30" eb="32">
      <t>トクセイ</t>
    </rPh>
    <phoneticPr fontId="1"/>
  </si>
  <si>
    <t>大地反射を考慮した受信電界強度、送受信点間距離の計算</t>
    <rPh sb="0" eb="2">
      <t>ダイチ</t>
    </rPh>
    <rPh sb="2" eb="4">
      <t>ハンシャ</t>
    </rPh>
    <rPh sb="5" eb="7">
      <t>コウリョ</t>
    </rPh>
    <rPh sb="9" eb="11">
      <t>ジュシン</t>
    </rPh>
    <rPh sb="11" eb="13">
      <t>デンカイ</t>
    </rPh>
    <rPh sb="13" eb="15">
      <t>キョウド</t>
    </rPh>
    <rPh sb="16" eb="20">
      <t>ソウジュシンテン</t>
    </rPh>
    <rPh sb="20" eb="23">
      <t>カンキョリ</t>
    </rPh>
    <rPh sb="24" eb="26">
      <t>ケイサン</t>
    </rPh>
    <phoneticPr fontId="1"/>
  </si>
  <si>
    <t>デリンジャー現象や磁気嵐の発生メカニズムと電離層減衰特性</t>
    <rPh sb="6" eb="8">
      <t>ゲンショウ</t>
    </rPh>
    <rPh sb="9" eb="12">
      <t>ジキアラシ</t>
    </rPh>
    <rPh sb="13" eb="15">
      <t>ハッセイ</t>
    </rPh>
    <rPh sb="21" eb="23">
      <t>デンリ</t>
    </rPh>
    <rPh sb="23" eb="24">
      <t>ソウ</t>
    </rPh>
    <rPh sb="24" eb="26">
      <t>ゲンスイ</t>
    </rPh>
    <rPh sb="26" eb="28">
      <t>トクセイ</t>
    </rPh>
    <phoneticPr fontId="1"/>
  </si>
  <si>
    <t>スペクトルアナライザで観測したAM波の変調度の計算</t>
    <rPh sb="11" eb="13">
      <t>カンソク</t>
    </rPh>
    <rPh sb="17" eb="18">
      <t>ハ</t>
    </rPh>
    <rPh sb="19" eb="21">
      <t>ヘンチョウ</t>
    </rPh>
    <rPh sb="21" eb="22">
      <t>ド</t>
    </rPh>
    <rPh sb="23" eb="25">
      <t>ケイサン</t>
    </rPh>
    <phoneticPr fontId="1"/>
  </si>
  <si>
    <t>ベクトルネットワークアナライザの基本機能</t>
    <rPh sb="16" eb="18">
      <t>キホン</t>
    </rPh>
    <rPh sb="18" eb="20">
      <t>キノウ</t>
    </rPh>
    <phoneticPr fontId="1"/>
  </si>
  <si>
    <t>大気の屈折率とラジオダクトの説明</t>
    <rPh sb="0" eb="2">
      <t>タイキ</t>
    </rPh>
    <rPh sb="3" eb="6">
      <t>クッセツリツ</t>
    </rPh>
    <rPh sb="14" eb="16">
      <t>セツメイ</t>
    </rPh>
    <phoneticPr fontId="1"/>
  </si>
  <si>
    <t>令和6年8月</t>
    <rPh sb="0" eb="2">
      <t>レイワ</t>
    </rPh>
    <rPh sb="3" eb="4">
      <t>ネン</t>
    </rPh>
    <rPh sb="5" eb="6">
      <t>ガツ</t>
    </rPh>
    <phoneticPr fontId="1"/>
  </si>
  <si>
    <t>A3</t>
    <phoneticPr fontId="1"/>
  </si>
  <si>
    <t>直線導体の特性を変えたときの抵抗値の計算</t>
    <rPh sb="0" eb="4">
      <t>チョクセンドウタイ</t>
    </rPh>
    <rPh sb="5" eb="7">
      <t>トクセイ</t>
    </rPh>
    <rPh sb="8" eb="9">
      <t>カ</t>
    </rPh>
    <rPh sb="14" eb="16">
      <t>テイコウ</t>
    </rPh>
    <rPh sb="16" eb="17">
      <t>チ</t>
    </rPh>
    <rPh sb="18" eb="20">
      <t>ケイサン</t>
    </rPh>
    <phoneticPr fontId="1"/>
  </si>
  <si>
    <t>A1</t>
    <phoneticPr fontId="1"/>
  </si>
  <si>
    <t>A5</t>
    <phoneticPr fontId="1"/>
  </si>
  <si>
    <t>LCR発振回路の尖鋭度Qの計算</t>
    <rPh sb="3" eb="7">
      <t>ハッシンカイロ</t>
    </rPh>
    <rPh sb="8" eb="11">
      <t>センエイド</t>
    </rPh>
    <rPh sb="13" eb="15">
      <t>ケイサン</t>
    </rPh>
    <phoneticPr fontId="1"/>
  </si>
  <si>
    <t>A6</t>
    <phoneticPr fontId="1"/>
  </si>
  <si>
    <t>正弦波交流における位相差の時間計算</t>
    <rPh sb="0" eb="3">
      <t>セイゲンハ</t>
    </rPh>
    <rPh sb="3" eb="5">
      <t>コウリュウ</t>
    </rPh>
    <rPh sb="9" eb="12">
      <t>イソウサ</t>
    </rPh>
    <rPh sb="13" eb="15">
      <t>ジカン</t>
    </rPh>
    <rPh sb="15" eb="17">
      <t>ケイサン</t>
    </rPh>
    <phoneticPr fontId="1"/>
  </si>
  <si>
    <t>A4</t>
    <phoneticPr fontId="1"/>
  </si>
  <si>
    <t>セラミック発振子の特徴</t>
    <rPh sb="5" eb="7">
      <t>ハッシン</t>
    </rPh>
    <rPh sb="7" eb="8">
      <t>コ</t>
    </rPh>
    <rPh sb="9" eb="11">
      <t>トクチョウ</t>
    </rPh>
    <phoneticPr fontId="1"/>
  </si>
  <si>
    <t>A7</t>
    <phoneticPr fontId="1"/>
  </si>
  <si>
    <t>受動部品</t>
    <rPh sb="0" eb="4">
      <t>ジュドウブヒン</t>
    </rPh>
    <phoneticPr fontId="1"/>
  </si>
  <si>
    <t>ダイオード</t>
    <phoneticPr fontId="1"/>
  </si>
  <si>
    <t>トランジスタ</t>
    <phoneticPr fontId="1"/>
  </si>
  <si>
    <t>その他部品</t>
    <rPh sb="2" eb="3">
      <t>タ</t>
    </rPh>
    <rPh sb="3" eb="5">
      <t>ブヒン</t>
    </rPh>
    <phoneticPr fontId="1"/>
  </si>
  <si>
    <t>A8</t>
    <phoneticPr fontId="1"/>
  </si>
  <si>
    <t>半導体増幅</t>
    <rPh sb="0" eb="3">
      <t>ハンドウタイ</t>
    </rPh>
    <rPh sb="3" eb="5">
      <t>ゾウフク</t>
    </rPh>
    <phoneticPr fontId="1"/>
  </si>
  <si>
    <t>増幅回路一般</t>
    <rPh sb="0" eb="4">
      <t>ゾウフクカイロ</t>
    </rPh>
    <rPh sb="4" eb="6">
      <t>イッパン</t>
    </rPh>
    <phoneticPr fontId="1"/>
  </si>
  <si>
    <t>A9</t>
    <phoneticPr fontId="1"/>
  </si>
  <si>
    <t>A10</t>
    <phoneticPr fontId="1"/>
  </si>
  <si>
    <t>ダイオードとトランジスタを用いた論理回路の等価構成</t>
    <rPh sb="13" eb="14">
      <t>モチ</t>
    </rPh>
    <rPh sb="21" eb="25">
      <t>トウカコウセイ</t>
    </rPh>
    <phoneticPr fontId="1"/>
  </si>
  <si>
    <t>デジタル通信システムの原理的な構成</t>
    <rPh sb="4" eb="6">
      <t>ツウシン</t>
    </rPh>
    <rPh sb="11" eb="14">
      <t>ゲンリテキ</t>
    </rPh>
    <rPh sb="15" eb="17">
      <t>コウセイ</t>
    </rPh>
    <phoneticPr fontId="1"/>
  </si>
  <si>
    <t>A13</t>
    <phoneticPr fontId="1"/>
  </si>
  <si>
    <t>出題回数</t>
    <rPh sb="0" eb="4">
      <t>シュツダイカイスウ</t>
    </rPh>
    <phoneticPr fontId="1"/>
  </si>
  <si>
    <t>相互変調妨害の発生周波数計算</t>
    <phoneticPr fontId="1"/>
  </si>
  <si>
    <t>SDR受信機の概要</t>
    <rPh sb="3" eb="6">
      <t>ジュシンキ</t>
    </rPh>
    <rPh sb="7" eb="9">
      <t>ガイヨウ</t>
    </rPh>
    <phoneticPr fontId="1"/>
  </si>
  <si>
    <t>A14</t>
    <phoneticPr fontId="1"/>
  </si>
  <si>
    <t>スイッチングレギュレータについての説明</t>
    <rPh sb="17" eb="19">
      <t>セツメイ</t>
    </rPh>
    <phoneticPr fontId="1"/>
  </si>
  <si>
    <t>A18</t>
    <phoneticPr fontId="1"/>
  </si>
  <si>
    <t>A16</t>
    <phoneticPr fontId="1"/>
  </si>
  <si>
    <t>A15</t>
    <phoneticPr fontId="1"/>
  </si>
  <si>
    <t>リチウムイオン蓄電池の特徴</t>
    <rPh sb="7" eb="10">
      <t>チクデンチ</t>
    </rPh>
    <rPh sb="11" eb="13">
      <t>トクチョウ</t>
    </rPh>
    <phoneticPr fontId="1"/>
  </si>
  <si>
    <t>A17</t>
    <phoneticPr fontId="1"/>
  </si>
  <si>
    <t>アンテナ理論</t>
    <rPh sb="4" eb="6">
      <t>リロン</t>
    </rPh>
    <phoneticPr fontId="1"/>
  </si>
  <si>
    <t>半波長ダイポールアンテナの受信電圧から電界強度の計算</t>
    <phoneticPr fontId="1"/>
  </si>
  <si>
    <t>コリニアアレーアンテナの特徴</t>
    <rPh sb="12" eb="14">
      <t>トクチョウ</t>
    </rPh>
    <phoneticPr fontId="1"/>
  </si>
  <si>
    <t>A20</t>
    <phoneticPr fontId="1"/>
  </si>
  <si>
    <t>A21</t>
    <phoneticPr fontId="1"/>
  </si>
  <si>
    <t>MUF・臨界周波数・入射角・跳躍距離に関する計算</t>
    <rPh sb="19" eb="20">
      <t>カン</t>
    </rPh>
    <phoneticPr fontId="1"/>
  </si>
  <si>
    <t>VHF/UHF帯における電波伝搬の特徴</t>
    <rPh sb="7" eb="8">
      <t>タイ</t>
    </rPh>
    <rPh sb="12" eb="16">
      <t>デンパデンパン</t>
    </rPh>
    <rPh sb="17" eb="19">
      <t>トクチョウ</t>
    </rPh>
    <phoneticPr fontId="1"/>
  </si>
  <si>
    <t>A22</t>
    <phoneticPr fontId="1"/>
  </si>
  <si>
    <t>電波の強度に対する安全基準</t>
    <rPh sb="0" eb="2">
      <t>デンパ</t>
    </rPh>
    <rPh sb="3" eb="5">
      <t>キョウド</t>
    </rPh>
    <rPh sb="6" eb="7">
      <t>タイ</t>
    </rPh>
    <rPh sb="9" eb="11">
      <t>アンゼン</t>
    </rPh>
    <rPh sb="11" eb="13">
      <t>キジュン</t>
    </rPh>
    <phoneticPr fontId="1"/>
  </si>
  <si>
    <t>A23</t>
    <phoneticPr fontId="1"/>
  </si>
  <si>
    <t>アンテナ構造</t>
    <rPh sb="4" eb="6">
      <t>コウゾウ</t>
    </rPh>
    <phoneticPr fontId="1"/>
  </si>
  <si>
    <t>A24</t>
    <phoneticPr fontId="1"/>
  </si>
  <si>
    <t>A25</t>
    <phoneticPr fontId="1"/>
  </si>
  <si>
    <t>B1</t>
    <phoneticPr fontId="1"/>
  </si>
  <si>
    <t>B2</t>
    <phoneticPr fontId="1"/>
  </si>
  <si>
    <t>フェージングの軽減方法</t>
    <rPh sb="7" eb="11">
      <t>ケイゲンホウホウ</t>
    </rPh>
    <phoneticPr fontId="1"/>
  </si>
  <si>
    <t>B3</t>
    <phoneticPr fontId="1"/>
  </si>
  <si>
    <t>GPSについての説明</t>
    <rPh sb="8" eb="10">
      <t>セツメイ</t>
    </rPh>
    <phoneticPr fontId="1"/>
  </si>
  <si>
    <t>B4</t>
    <phoneticPr fontId="1"/>
  </si>
  <si>
    <t>B5</t>
    <phoneticPr fontId="1"/>
  </si>
  <si>
    <t>令和6年4月</t>
    <rPh sb="0" eb="2">
      <t>レイワ</t>
    </rPh>
    <rPh sb="3" eb="4">
      <t>ネン</t>
    </rPh>
    <rPh sb="5" eb="6">
      <t>ガツ</t>
    </rPh>
    <phoneticPr fontId="1"/>
  </si>
  <si>
    <t>真空中の点電荷による合成電界の強さの計算</t>
    <phoneticPr fontId="1"/>
  </si>
  <si>
    <t>A1</t>
    <phoneticPr fontId="1"/>
  </si>
  <si>
    <t>A2</t>
    <phoneticPr fontId="1"/>
  </si>
  <si>
    <t>A4</t>
    <phoneticPr fontId="1"/>
  </si>
  <si>
    <t>A3</t>
    <phoneticPr fontId="1"/>
  </si>
  <si>
    <t>A5</t>
    <phoneticPr fontId="1"/>
  </si>
  <si>
    <t>減衰器</t>
    <rPh sb="0" eb="2">
      <t>ゲンスイ</t>
    </rPh>
    <rPh sb="2" eb="3">
      <t>キ</t>
    </rPh>
    <phoneticPr fontId="1"/>
  </si>
  <si>
    <t>トランスを用いたインピーダンス整合</t>
    <rPh sb="5" eb="6">
      <t>モチ</t>
    </rPh>
    <phoneticPr fontId="1"/>
  </si>
  <si>
    <t>A6</t>
    <phoneticPr fontId="1"/>
  </si>
  <si>
    <t>各種トランジスタの図記号と特徴</t>
    <rPh sb="0" eb="2">
      <t>カクシュ</t>
    </rPh>
    <phoneticPr fontId="1"/>
  </si>
  <si>
    <t>A7</t>
    <phoneticPr fontId="1"/>
  </si>
  <si>
    <t>負帰還増幅回路の帰還率・増幅率の計算</t>
    <rPh sb="0" eb="3">
      <t>フキカン</t>
    </rPh>
    <rPh sb="3" eb="5">
      <t>ゾウフク</t>
    </rPh>
    <rPh sb="5" eb="7">
      <t>カイロ</t>
    </rPh>
    <rPh sb="8" eb="11">
      <t>キカンリツ</t>
    </rPh>
    <rPh sb="12" eb="15">
      <t>ゾウフクリツ</t>
    </rPh>
    <rPh sb="16" eb="18">
      <t>ケイサン</t>
    </rPh>
    <phoneticPr fontId="1"/>
  </si>
  <si>
    <t>A8</t>
    <phoneticPr fontId="1"/>
  </si>
  <si>
    <t>A9</t>
    <phoneticPr fontId="1"/>
  </si>
  <si>
    <t>A10</t>
    <phoneticPr fontId="1"/>
  </si>
  <si>
    <t>FM送信機の最高周波数、周波数偏移と占有周波数帯幅の説明</t>
    <rPh sb="2" eb="5">
      <t>ソウシンキ</t>
    </rPh>
    <rPh sb="6" eb="8">
      <t>サイコウ</t>
    </rPh>
    <rPh sb="8" eb="11">
      <t>シュウハスウ</t>
    </rPh>
    <rPh sb="12" eb="15">
      <t>シュウハスウ</t>
    </rPh>
    <rPh sb="15" eb="17">
      <t>ヘンイ</t>
    </rPh>
    <rPh sb="18" eb="23">
      <t>センユウシュウハスウ</t>
    </rPh>
    <rPh sb="23" eb="24">
      <t>タイ</t>
    </rPh>
    <rPh sb="24" eb="25">
      <t>ハバ</t>
    </rPh>
    <rPh sb="26" eb="28">
      <t>セツメイ</t>
    </rPh>
    <phoneticPr fontId="1"/>
  </si>
  <si>
    <t>FM送信機の最高周波数、周波数偏移と占有周波数帯幅の計算</t>
    <rPh sb="2" eb="5">
      <t>ソウシンキ</t>
    </rPh>
    <rPh sb="6" eb="8">
      <t>サイコウ</t>
    </rPh>
    <rPh sb="8" eb="11">
      <t>シュウハスウ</t>
    </rPh>
    <rPh sb="12" eb="15">
      <t>シュウハスウ</t>
    </rPh>
    <rPh sb="15" eb="17">
      <t>ヘンイ</t>
    </rPh>
    <rPh sb="18" eb="23">
      <t>センユウシュウハスウ</t>
    </rPh>
    <rPh sb="23" eb="24">
      <t>タイ</t>
    </rPh>
    <rPh sb="24" eb="25">
      <t>ハバ</t>
    </rPh>
    <rPh sb="26" eb="28">
      <t>ケイサン</t>
    </rPh>
    <phoneticPr fontId="1"/>
  </si>
  <si>
    <t>DSB通信方式と比較したSSB通信方式の一般的な特徴</t>
    <rPh sb="3" eb="5">
      <t>ツウシン</t>
    </rPh>
    <rPh sb="5" eb="7">
      <t>ホウシキ</t>
    </rPh>
    <rPh sb="8" eb="10">
      <t>ヒカク</t>
    </rPh>
    <rPh sb="15" eb="17">
      <t>ツウシン</t>
    </rPh>
    <rPh sb="17" eb="19">
      <t>ホウシキ</t>
    </rPh>
    <rPh sb="20" eb="23">
      <t>イッパンテキ</t>
    </rPh>
    <rPh sb="24" eb="26">
      <t>トクチョウ</t>
    </rPh>
    <phoneticPr fontId="1"/>
  </si>
  <si>
    <t>A11</t>
    <phoneticPr fontId="1"/>
  </si>
  <si>
    <t>移相法によるSSB（J3E）側波帯の発生原理</t>
    <rPh sb="0" eb="2">
      <t>イソウ</t>
    </rPh>
    <rPh sb="2" eb="3">
      <t>ホウ</t>
    </rPh>
    <rPh sb="14" eb="15">
      <t>ガワ</t>
    </rPh>
    <rPh sb="15" eb="17">
      <t>ハタイ</t>
    </rPh>
    <rPh sb="18" eb="20">
      <t>ハッセイ</t>
    </rPh>
    <rPh sb="20" eb="22">
      <t>ゲンリ</t>
    </rPh>
    <phoneticPr fontId="1"/>
  </si>
  <si>
    <t>A13</t>
    <phoneticPr fontId="1"/>
  </si>
  <si>
    <t>感度抑圧についての説明</t>
    <rPh sb="0" eb="4">
      <t>カンドヨクアツ</t>
    </rPh>
    <rPh sb="9" eb="11">
      <t>セツメイ</t>
    </rPh>
    <phoneticPr fontId="1"/>
  </si>
  <si>
    <t>ノイズブランカについての説明</t>
    <rPh sb="12" eb="14">
      <t>セツメイ</t>
    </rPh>
    <phoneticPr fontId="1"/>
  </si>
  <si>
    <t>A14</t>
    <phoneticPr fontId="1"/>
  </si>
  <si>
    <t>宇宙無線通信</t>
    <rPh sb="0" eb="2">
      <t>ウチュウ</t>
    </rPh>
    <rPh sb="2" eb="4">
      <t>ムセン</t>
    </rPh>
    <rPh sb="4" eb="6">
      <t>ツウシン</t>
    </rPh>
    <phoneticPr fontId="1"/>
  </si>
  <si>
    <t>A15</t>
    <phoneticPr fontId="1"/>
  </si>
  <si>
    <t>月面反射（EME）通信についての説明</t>
    <rPh sb="0" eb="2">
      <t>ゲツメン</t>
    </rPh>
    <rPh sb="2" eb="4">
      <t>ハンシャ</t>
    </rPh>
    <rPh sb="9" eb="11">
      <t>ツウシン</t>
    </rPh>
    <rPh sb="16" eb="18">
      <t>セツメイ</t>
    </rPh>
    <phoneticPr fontId="1"/>
  </si>
  <si>
    <t>A16</t>
    <phoneticPr fontId="1"/>
  </si>
  <si>
    <t>全波整流回路における入力電圧の実効値計算</t>
    <rPh sb="0" eb="2">
      <t>ゼンパ</t>
    </rPh>
    <rPh sb="2" eb="6">
      <t>セイリュウカイロ</t>
    </rPh>
    <rPh sb="10" eb="12">
      <t>ニュウリョク</t>
    </rPh>
    <rPh sb="12" eb="14">
      <t>デンアツ</t>
    </rPh>
    <rPh sb="15" eb="18">
      <t>ジッコウチ</t>
    </rPh>
    <rPh sb="17" eb="18">
      <t>チ</t>
    </rPh>
    <rPh sb="18" eb="20">
      <t>ケイサン</t>
    </rPh>
    <phoneticPr fontId="1"/>
  </si>
  <si>
    <t>A17</t>
    <phoneticPr fontId="1"/>
  </si>
  <si>
    <t>倍電圧整流回路における出力電圧の実効値計算</t>
    <rPh sb="0" eb="3">
      <t>バイデンアツ</t>
    </rPh>
    <rPh sb="3" eb="7">
      <t>セイリュウカイロ</t>
    </rPh>
    <rPh sb="11" eb="13">
      <t>シュツリョク</t>
    </rPh>
    <rPh sb="13" eb="15">
      <t>デンアツ</t>
    </rPh>
    <rPh sb="16" eb="19">
      <t>ジッコウチ</t>
    </rPh>
    <rPh sb="18" eb="19">
      <t>チ</t>
    </rPh>
    <rPh sb="19" eb="21">
      <t>ケイサン</t>
    </rPh>
    <phoneticPr fontId="1"/>
  </si>
  <si>
    <t>チョッパ型DC-DCコンバータの動作原理</t>
    <rPh sb="4" eb="5">
      <t>ガタ</t>
    </rPh>
    <rPh sb="16" eb="20">
      <t>ドウサゲンリ</t>
    </rPh>
    <phoneticPr fontId="1"/>
  </si>
  <si>
    <t>A18</t>
    <phoneticPr fontId="1"/>
  </si>
  <si>
    <t>A19</t>
    <phoneticPr fontId="1"/>
  </si>
  <si>
    <t>垂直ループアンテナの特徴</t>
    <rPh sb="0" eb="2">
      <t>スイチョク</t>
    </rPh>
    <rPh sb="10" eb="12">
      <t>トクチョウ</t>
    </rPh>
    <phoneticPr fontId="1"/>
  </si>
  <si>
    <t>A20</t>
    <phoneticPr fontId="1"/>
  </si>
  <si>
    <t>シュペルトップ（バズーカバラン）の構造と動作原理</t>
    <phoneticPr fontId="1"/>
  </si>
  <si>
    <t>A21</t>
    <phoneticPr fontId="1"/>
  </si>
  <si>
    <t>A22</t>
    <phoneticPr fontId="1"/>
  </si>
  <si>
    <t>短波帯（HF）におけるフェージングの特徴</t>
    <rPh sb="0" eb="3">
      <t>タンパタイ</t>
    </rPh>
    <rPh sb="18" eb="20">
      <t>トクチョウ</t>
    </rPh>
    <phoneticPr fontId="1"/>
  </si>
  <si>
    <t>A23</t>
    <phoneticPr fontId="1"/>
  </si>
  <si>
    <t>スミスチャートを用いたインピーダンスマッチング</t>
    <rPh sb="8" eb="9">
      <t>モチ</t>
    </rPh>
    <phoneticPr fontId="1"/>
  </si>
  <si>
    <t>A24</t>
    <phoneticPr fontId="1"/>
  </si>
  <si>
    <t>出題回数※直近除く</t>
    <rPh sb="0" eb="4">
      <t>シュツダイカイスウ</t>
    </rPh>
    <rPh sb="5" eb="7">
      <t>チョッキン</t>
    </rPh>
    <rPh sb="7" eb="8">
      <t>ノゾ</t>
    </rPh>
    <phoneticPr fontId="1"/>
  </si>
  <si>
    <t>スペクトルアナライザの一般的な特徴</t>
    <rPh sb="11" eb="14">
      <t>イッパンテキ</t>
    </rPh>
    <rPh sb="15" eb="17">
      <t>トクチョウ</t>
    </rPh>
    <phoneticPr fontId="1"/>
  </si>
  <si>
    <t>A25</t>
    <phoneticPr fontId="1"/>
  </si>
  <si>
    <t>銅線の電気抵抗についての説明</t>
    <rPh sb="0" eb="2">
      <t>ドウセン</t>
    </rPh>
    <rPh sb="3" eb="5">
      <t>デンキ</t>
    </rPh>
    <rPh sb="5" eb="7">
      <t>テイコウ</t>
    </rPh>
    <rPh sb="12" eb="14">
      <t>セツメイ</t>
    </rPh>
    <phoneticPr fontId="1"/>
  </si>
  <si>
    <t>フォトダイオードの特徴</t>
    <rPh sb="9" eb="11">
      <t>トクチョウ</t>
    </rPh>
    <phoneticPr fontId="1"/>
  </si>
  <si>
    <t>スーパヘテロダイン受信機の選択度を向上させる方法</t>
    <rPh sb="9" eb="12">
      <t>ジュシンキ</t>
    </rPh>
    <rPh sb="13" eb="16">
      <t>センタクド</t>
    </rPh>
    <rPh sb="17" eb="19">
      <t>コウジョウ</t>
    </rPh>
    <rPh sb="22" eb="24">
      <t>ホウホウ</t>
    </rPh>
    <phoneticPr fontId="1"/>
  </si>
  <si>
    <t>CM電力計による電力の測定</t>
    <rPh sb="2" eb="5">
      <t>デンリョクケイ</t>
    </rPh>
    <rPh sb="8" eb="10">
      <t>デンリョク</t>
    </rPh>
    <rPh sb="11" eb="13">
      <t>ソクテイ</t>
    </rPh>
    <phoneticPr fontId="1"/>
  </si>
  <si>
    <t>コンデンサ・電荷</t>
    <rPh sb="6" eb="8">
      <t>デンカ</t>
    </rPh>
    <phoneticPr fontId="1"/>
  </si>
  <si>
    <t>令和5年12月</t>
    <rPh sb="0" eb="2">
      <t>レイワ</t>
    </rPh>
    <rPh sb="3" eb="4">
      <t>ネン</t>
    </rPh>
    <rPh sb="6" eb="7">
      <t>ガツ</t>
    </rPh>
    <phoneticPr fontId="1"/>
  </si>
  <si>
    <t>令和5年8月</t>
    <rPh sb="0" eb="2">
      <t>レイワ</t>
    </rPh>
    <rPh sb="3" eb="4">
      <t>ネン</t>
    </rPh>
    <rPh sb="5" eb="6">
      <t>ガツ</t>
    </rPh>
    <phoneticPr fontId="1"/>
  </si>
  <si>
    <t>令和5年4月</t>
    <rPh sb="0" eb="2">
      <t>レイワ</t>
    </rPh>
    <rPh sb="3" eb="4">
      <t>ネン</t>
    </rPh>
    <rPh sb="5" eb="6">
      <t>ガツ</t>
    </rPh>
    <phoneticPr fontId="1"/>
  </si>
  <si>
    <t>A1</t>
    <phoneticPr fontId="1"/>
  </si>
  <si>
    <t>A2</t>
    <phoneticPr fontId="1"/>
  </si>
  <si>
    <t>A3</t>
    <phoneticPr fontId="1"/>
  </si>
  <si>
    <t>A4</t>
    <phoneticPr fontId="1"/>
  </si>
  <si>
    <t>A5</t>
    <phoneticPr fontId="1"/>
  </si>
  <si>
    <t>水晶発振子の発振周波数の変動原因と対策</t>
    <rPh sb="0" eb="2">
      <t>スイショウ</t>
    </rPh>
    <rPh sb="2" eb="5">
      <t>ハッシンシ</t>
    </rPh>
    <rPh sb="6" eb="8">
      <t>ハッシン</t>
    </rPh>
    <rPh sb="8" eb="11">
      <t>シュウハスウ</t>
    </rPh>
    <rPh sb="12" eb="14">
      <t>ヘンドウ</t>
    </rPh>
    <rPh sb="14" eb="16">
      <t>ゲンイン</t>
    </rPh>
    <rPh sb="17" eb="19">
      <t>タイサク</t>
    </rPh>
    <phoneticPr fontId="1"/>
  </si>
  <si>
    <t>A7</t>
    <phoneticPr fontId="1"/>
  </si>
  <si>
    <t>A8</t>
    <phoneticPr fontId="1"/>
  </si>
  <si>
    <t>A9</t>
    <phoneticPr fontId="1"/>
  </si>
  <si>
    <t>A10</t>
    <phoneticPr fontId="1"/>
  </si>
  <si>
    <t>A11</t>
    <phoneticPr fontId="1"/>
  </si>
  <si>
    <t>A12</t>
    <phoneticPr fontId="1"/>
  </si>
  <si>
    <t>相互変調による混信の説明</t>
    <rPh sb="7" eb="9">
      <t>コンシン</t>
    </rPh>
    <rPh sb="10" eb="12">
      <t>セツメイ</t>
    </rPh>
    <phoneticPr fontId="1"/>
  </si>
  <si>
    <t>A13</t>
    <phoneticPr fontId="1"/>
  </si>
  <si>
    <t>等価雑音温度についての説明</t>
    <rPh sb="0" eb="6">
      <t>トウカザツオンオンド</t>
    </rPh>
    <rPh sb="11" eb="13">
      <t>セツメイ</t>
    </rPh>
    <phoneticPr fontId="1"/>
  </si>
  <si>
    <t>A14</t>
    <phoneticPr fontId="1"/>
  </si>
  <si>
    <t>A15</t>
    <phoneticPr fontId="1"/>
  </si>
  <si>
    <t>A17</t>
    <phoneticPr fontId="1"/>
  </si>
  <si>
    <t>単巻変圧器の巻線電流計算</t>
    <rPh sb="10" eb="12">
      <t>ケイサン</t>
    </rPh>
    <phoneticPr fontId="1"/>
  </si>
  <si>
    <t>A16</t>
    <phoneticPr fontId="1"/>
  </si>
  <si>
    <t>鉛蓄電池の特徴</t>
    <rPh sb="0" eb="4">
      <t>ナマリチクデンチ</t>
    </rPh>
    <rPh sb="5" eb="7">
      <t>トクチョウ</t>
    </rPh>
    <phoneticPr fontId="1"/>
  </si>
  <si>
    <t>A18</t>
    <phoneticPr fontId="1"/>
  </si>
  <si>
    <t>A20</t>
    <phoneticPr fontId="1"/>
  </si>
  <si>
    <t>変調度100%時の同軸ケーブル電圧最大値の計算</t>
    <phoneticPr fontId="1"/>
  </si>
  <si>
    <t>A19</t>
    <phoneticPr fontId="1"/>
  </si>
  <si>
    <t>A21</t>
    <phoneticPr fontId="1"/>
  </si>
  <si>
    <t>同軸ケーブル変成器を用いたスタックアンテナのインピーダンス整合の計算</t>
    <phoneticPr fontId="1"/>
  </si>
  <si>
    <t>A22</t>
    <phoneticPr fontId="1"/>
  </si>
  <si>
    <t>A23</t>
    <phoneticPr fontId="1"/>
  </si>
  <si>
    <t>A25</t>
    <phoneticPr fontId="1"/>
  </si>
  <si>
    <t>SSB送信機の空中線電力の測定方法</t>
    <rPh sb="3" eb="6">
      <t>ソウシンキ</t>
    </rPh>
    <rPh sb="7" eb="12">
      <t>クウチュウセンデンリョク</t>
    </rPh>
    <rPh sb="13" eb="17">
      <t>ソクテイホウホウ</t>
    </rPh>
    <phoneticPr fontId="1"/>
  </si>
  <si>
    <t>A24</t>
    <phoneticPr fontId="1"/>
  </si>
  <si>
    <t>B5</t>
    <phoneticPr fontId="1"/>
  </si>
  <si>
    <t>B4</t>
    <phoneticPr fontId="1"/>
  </si>
  <si>
    <t>電波雑音の種類と特徴</t>
    <phoneticPr fontId="1"/>
  </si>
  <si>
    <t>電波雑音</t>
    <rPh sb="0" eb="4">
      <t>デンパザツオン</t>
    </rPh>
    <phoneticPr fontId="1"/>
  </si>
  <si>
    <t>B3</t>
    <phoneticPr fontId="1"/>
  </si>
  <si>
    <t>B2</t>
    <phoneticPr fontId="1"/>
  </si>
  <si>
    <t>電気磁気に関する単位</t>
    <rPh sb="0" eb="4">
      <t>デンキジキ</t>
    </rPh>
    <rPh sb="5" eb="6">
      <t>カン</t>
    </rPh>
    <rPh sb="8" eb="10">
      <t>タンイ</t>
    </rPh>
    <phoneticPr fontId="1"/>
  </si>
  <si>
    <t>B1</t>
    <phoneticPr fontId="1"/>
  </si>
  <si>
    <t>対地間静電容量が異なる2導体球を接続したときの電荷移動量の計算</t>
    <phoneticPr fontId="1"/>
  </si>
  <si>
    <t>A1</t>
    <phoneticPr fontId="1"/>
  </si>
  <si>
    <t>磁性材料のヒステリシスループについての説明</t>
    <rPh sb="0" eb="4">
      <t>ジセイザイリョウ</t>
    </rPh>
    <rPh sb="19" eb="21">
      <t>セツメイ</t>
    </rPh>
    <phoneticPr fontId="1"/>
  </si>
  <si>
    <t>A2</t>
    <phoneticPr fontId="1"/>
  </si>
  <si>
    <t>A3</t>
    <phoneticPr fontId="1"/>
  </si>
  <si>
    <t>A4</t>
    <phoneticPr fontId="1"/>
  </si>
  <si>
    <t>A5</t>
    <phoneticPr fontId="1"/>
  </si>
  <si>
    <t>A6</t>
    <phoneticPr fontId="1"/>
  </si>
  <si>
    <t>A7</t>
    <phoneticPr fontId="1"/>
  </si>
  <si>
    <t>電界効果トランジスタ（FET）の特徴</t>
    <rPh sb="0" eb="4">
      <t>デンカイコウカ</t>
    </rPh>
    <rPh sb="16" eb="18">
      <t>トクチョウ</t>
    </rPh>
    <phoneticPr fontId="1"/>
  </si>
  <si>
    <t>セラミックフィルタについての説明</t>
    <rPh sb="14" eb="16">
      <t>セツメイ</t>
    </rPh>
    <phoneticPr fontId="1"/>
  </si>
  <si>
    <t>A8</t>
    <phoneticPr fontId="1"/>
  </si>
  <si>
    <t>微分回路と積分回路の構成と波形</t>
    <rPh sb="0" eb="4">
      <t>ビブンカイロ</t>
    </rPh>
    <rPh sb="5" eb="9">
      <t>セキブンカイロ</t>
    </rPh>
    <rPh sb="10" eb="12">
      <t>コウセイ</t>
    </rPh>
    <rPh sb="13" eb="15">
      <t>ハケイ</t>
    </rPh>
    <phoneticPr fontId="1"/>
  </si>
  <si>
    <t>A9</t>
    <phoneticPr fontId="1"/>
  </si>
  <si>
    <t>A10</t>
    <phoneticPr fontId="1"/>
  </si>
  <si>
    <t>A11</t>
    <phoneticPr fontId="1"/>
  </si>
  <si>
    <t>SSB送信機の終段電力増幅回路の構成</t>
    <rPh sb="3" eb="6">
      <t>ソウシンキ</t>
    </rPh>
    <rPh sb="7" eb="9">
      <t>シュウダン</t>
    </rPh>
    <rPh sb="9" eb="11">
      <t>デンリョク</t>
    </rPh>
    <rPh sb="11" eb="13">
      <t>ゾウフク</t>
    </rPh>
    <rPh sb="13" eb="15">
      <t>カイロ</t>
    </rPh>
    <rPh sb="16" eb="18">
      <t>コウセイ</t>
    </rPh>
    <phoneticPr fontId="1"/>
  </si>
  <si>
    <t>A12</t>
    <phoneticPr fontId="1"/>
  </si>
  <si>
    <t>A13</t>
    <phoneticPr fontId="1"/>
  </si>
  <si>
    <t>A14</t>
    <phoneticPr fontId="1"/>
  </si>
  <si>
    <t>A15</t>
    <phoneticPr fontId="1"/>
  </si>
  <si>
    <t>A16</t>
    <phoneticPr fontId="1"/>
  </si>
  <si>
    <t>直列制御形定電圧回路のコレクタ損失最大値の計算</t>
    <phoneticPr fontId="1"/>
  </si>
  <si>
    <t>A17</t>
    <phoneticPr fontId="1"/>
  </si>
  <si>
    <t>A18</t>
    <phoneticPr fontId="1"/>
  </si>
  <si>
    <t>A19</t>
    <phoneticPr fontId="1"/>
  </si>
  <si>
    <t>A20</t>
    <phoneticPr fontId="1"/>
  </si>
  <si>
    <t>二線式折返し半波長ダイポールアンテナの特徴</t>
    <rPh sb="0" eb="3">
      <t>ニセンシキ</t>
    </rPh>
    <rPh sb="3" eb="5">
      <t>オリカエ</t>
    </rPh>
    <rPh sb="6" eb="9">
      <t>ハンハチョウ</t>
    </rPh>
    <rPh sb="19" eb="21">
      <t>トクチョウ</t>
    </rPh>
    <phoneticPr fontId="1"/>
  </si>
  <si>
    <t>A21</t>
    <phoneticPr fontId="1"/>
  </si>
  <si>
    <t>A22</t>
    <phoneticPr fontId="1"/>
  </si>
  <si>
    <t>A23</t>
    <phoneticPr fontId="1"/>
  </si>
  <si>
    <t>A25</t>
    <phoneticPr fontId="1"/>
  </si>
  <si>
    <t>電圧計の内部抵抗による端子電圧の誤差計算</t>
    <phoneticPr fontId="1"/>
  </si>
  <si>
    <t>A24</t>
    <phoneticPr fontId="1"/>
  </si>
  <si>
    <t>B1</t>
    <phoneticPr fontId="1"/>
  </si>
  <si>
    <t>B2</t>
    <phoneticPr fontId="1"/>
  </si>
  <si>
    <t>B3</t>
    <phoneticPr fontId="1"/>
  </si>
  <si>
    <t>スポラジックE層（Es）の特徴</t>
    <rPh sb="7" eb="8">
      <t>ソウ</t>
    </rPh>
    <rPh sb="13" eb="15">
      <t>トクチョウ</t>
    </rPh>
    <phoneticPr fontId="1"/>
  </si>
  <si>
    <t>B4</t>
    <phoneticPr fontId="1"/>
  </si>
  <si>
    <t>デジタルマルチメーターの構成</t>
    <rPh sb="12" eb="14">
      <t>コウセイ</t>
    </rPh>
    <phoneticPr fontId="1"/>
  </si>
  <si>
    <t>B5</t>
    <phoneticPr fontId="1"/>
  </si>
  <si>
    <t>A1</t>
    <phoneticPr fontId="1"/>
  </si>
  <si>
    <t>A2</t>
    <phoneticPr fontId="1"/>
  </si>
  <si>
    <t>A3</t>
    <phoneticPr fontId="1"/>
  </si>
  <si>
    <t>π形抵抗減衰器の入力電圧計算</t>
    <rPh sb="8" eb="10">
      <t>ニュウリョク</t>
    </rPh>
    <rPh sb="10" eb="12">
      <t>デンアツ</t>
    </rPh>
    <phoneticPr fontId="1"/>
  </si>
  <si>
    <t>A4</t>
    <phoneticPr fontId="1"/>
  </si>
  <si>
    <t>A5</t>
    <phoneticPr fontId="1"/>
  </si>
  <si>
    <t>A6</t>
    <phoneticPr fontId="1"/>
  </si>
  <si>
    <t>A8</t>
    <phoneticPr fontId="1"/>
  </si>
  <si>
    <t>A7</t>
    <phoneticPr fontId="1"/>
  </si>
  <si>
    <t>A9</t>
    <phoneticPr fontId="1"/>
  </si>
  <si>
    <t>A10</t>
    <phoneticPr fontId="1"/>
  </si>
  <si>
    <t>A11</t>
    <phoneticPr fontId="1"/>
  </si>
  <si>
    <t>送信機の終段に用いるπ型結合回路の調整方法</t>
    <rPh sb="0" eb="3">
      <t>ソウシンキ</t>
    </rPh>
    <rPh sb="4" eb="6">
      <t>シュウダン</t>
    </rPh>
    <rPh sb="7" eb="8">
      <t>モチ</t>
    </rPh>
    <rPh sb="11" eb="12">
      <t>ガタ</t>
    </rPh>
    <rPh sb="12" eb="14">
      <t>ケツゴウ</t>
    </rPh>
    <rPh sb="14" eb="16">
      <t>カイロ</t>
    </rPh>
    <rPh sb="17" eb="19">
      <t>チョウセイ</t>
    </rPh>
    <rPh sb="19" eb="21">
      <t>ホウホウ</t>
    </rPh>
    <phoneticPr fontId="1"/>
  </si>
  <si>
    <t>A12</t>
    <phoneticPr fontId="1"/>
  </si>
  <si>
    <t>A13</t>
    <phoneticPr fontId="1"/>
  </si>
  <si>
    <t>A14</t>
    <phoneticPr fontId="1"/>
  </si>
  <si>
    <t>A15</t>
    <phoneticPr fontId="1"/>
  </si>
  <si>
    <t>A16</t>
    <phoneticPr fontId="1"/>
  </si>
  <si>
    <t>A18</t>
    <phoneticPr fontId="1"/>
  </si>
  <si>
    <t>全波整流回路におけるダイオードの印加電圧の最大値計算</t>
    <rPh sb="0" eb="2">
      <t>ゼンパ</t>
    </rPh>
    <rPh sb="2" eb="6">
      <t>セイリュウカイロ</t>
    </rPh>
    <rPh sb="16" eb="20">
      <t>インカデンアツ</t>
    </rPh>
    <rPh sb="21" eb="24">
      <t>サイダイチ</t>
    </rPh>
    <rPh sb="24" eb="26">
      <t>ケイサン</t>
    </rPh>
    <phoneticPr fontId="1"/>
  </si>
  <si>
    <t>A17</t>
    <phoneticPr fontId="1"/>
  </si>
  <si>
    <t>A20</t>
    <phoneticPr fontId="1"/>
  </si>
  <si>
    <t>A21</t>
    <phoneticPr fontId="1"/>
  </si>
  <si>
    <t>A22</t>
    <phoneticPr fontId="1"/>
  </si>
  <si>
    <t>A25</t>
    <phoneticPr fontId="1"/>
  </si>
  <si>
    <t>オシロスコープによる2つの正弦波を与えたときの位相差</t>
    <rPh sb="13" eb="16">
      <t>セイゲンハ</t>
    </rPh>
    <rPh sb="17" eb="18">
      <t>アタ</t>
    </rPh>
    <rPh sb="23" eb="26">
      <t>イソウサ</t>
    </rPh>
    <phoneticPr fontId="1"/>
  </si>
  <si>
    <t>A24</t>
    <phoneticPr fontId="1"/>
  </si>
  <si>
    <t>直流電圧計を用いた測定回路の最大電圧</t>
    <rPh sb="0" eb="2">
      <t>チョクリュウ</t>
    </rPh>
    <rPh sb="2" eb="5">
      <t>デンアツケイ</t>
    </rPh>
    <rPh sb="6" eb="7">
      <t>モチ</t>
    </rPh>
    <rPh sb="9" eb="11">
      <t>ソクテイ</t>
    </rPh>
    <rPh sb="11" eb="13">
      <t>カイロ</t>
    </rPh>
    <rPh sb="14" eb="16">
      <t>サイダイ</t>
    </rPh>
    <rPh sb="16" eb="18">
      <t>デンアツ</t>
    </rPh>
    <phoneticPr fontId="1"/>
  </si>
  <si>
    <t>A23</t>
    <phoneticPr fontId="1"/>
  </si>
  <si>
    <t>B1</t>
    <phoneticPr fontId="1"/>
  </si>
  <si>
    <t>B2</t>
    <phoneticPr fontId="1"/>
  </si>
  <si>
    <t>B3</t>
    <phoneticPr fontId="1"/>
  </si>
  <si>
    <t>アースの概要と接地アンテナの特徴</t>
    <rPh sb="4" eb="6">
      <t>ガイヨウ</t>
    </rPh>
    <rPh sb="7" eb="9">
      <t>セッチ</t>
    </rPh>
    <rPh sb="14" eb="16">
      <t>トクチョウ</t>
    </rPh>
    <phoneticPr fontId="1"/>
  </si>
  <si>
    <t>B4</t>
    <phoneticPr fontId="1"/>
  </si>
  <si>
    <t>B5</t>
    <phoneticPr fontId="1"/>
  </si>
  <si>
    <t>DSB・SSB受信機</t>
    <rPh sb="7" eb="10">
      <t>ジュシンキ</t>
    </rPh>
    <phoneticPr fontId="1"/>
  </si>
  <si>
    <t>DSB受信機における混変調についての説明</t>
    <rPh sb="3" eb="6">
      <t>ジュシンキ</t>
    </rPh>
    <rPh sb="10" eb="11">
      <t>コン</t>
    </rPh>
    <rPh sb="11" eb="13">
      <t>ヘンチョウ</t>
    </rPh>
    <rPh sb="18" eb="20">
      <t>セツメイ</t>
    </rPh>
    <phoneticPr fontId="1"/>
  </si>
  <si>
    <t>DSB受信機におけるAGCについての説明</t>
    <rPh sb="3" eb="6">
      <t>ジュシンキ</t>
    </rPh>
    <rPh sb="18" eb="20">
      <t>セツメイ</t>
    </rPh>
    <phoneticPr fontId="1"/>
  </si>
  <si>
    <t>DSB受信機におけるAGC回路の構成</t>
    <rPh sb="3" eb="6">
      <t>ジュシンキ</t>
    </rPh>
    <rPh sb="13" eb="15">
      <t>カイロ</t>
    </rPh>
    <rPh sb="16" eb="18">
      <t>コウセイ</t>
    </rPh>
    <phoneticPr fontId="1"/>
  </si>
  <si>
    <t>DSB受信機における二乗検波器の説明</t>
    <rPh sb="3" eb="6">
      <t>ジュシンキ</t>
    </rPh>
    <rPh sb="10" eb="12">
      <t>ニジョウ</t>
    </rPh>
    <rPh sb="12" eb="15">
      <t>ケンパキ</t>
    </rPh>
    <rPh sb="16" eb="18">
      <t>セツメイ</t>
    </rPh>
    <phoneticPr fontId="1"/>
  </si>
  <si>
    <t>DSB・SSB送信機</t>
    <rPh sb="7" eb="10">
      <t>ソウシンキ</t>
    </rPh>
    <phoneticPr fontId="1"/>
  </si>
  <si>
    <t>出題回数</t>
    <rPh sb="0" eb="2">
      <t>シュツダイ</t>
    </rPh>
    <rPh sb="2" eb="4">
      <t>カイスウ</t>
    </rPh>
    <phoneticPr fontId="1"/>
  </si>
  <si>
    <t>平衡状態の交流ブリッジ回路における抵抗と静電容量の計算式</t>
    <rPh sb="0" eb="4">
      <t>ヘイコウジョウタイ</t>
    </rPh>
    <phoneticPr fontId="1"/>
  </si>
  <si>
    <t>その他電気回路</t>
    <rPh sb="2" eb="3">
      <t>タ</t>
    </rPh>
    <rPh sb="3" eb="7">
      <t>デンキカイロ</t>
    </rPh>
    <phoneticPr fontId="1"/>
  </si>
  <si>
    <t>令和4年12月</t>
    <rPh sb="0" eb="2">
      <t>レイワ</t>
    </rPh>
    <rPh sb="3" eb="4">
      <t>ネン</t>
    </rPh>
    <rPh sb="6" eb="7">
      <t>ガツ</t>
    </rPh>
    <phoneticPr fontId="1"/>
  </si>
  <si>
    <t>令和4年8月</t>
    <rPh sb="0" eb="2">
      <t>レイワ</t>
    </rPh>
    <rPh sb="3" eb="4">
      <t>ネン</t>
    </rPh>
    <rPh sb="5" eb="6">
      <t>ガツ</t>
    </rPh>
    <phoneticPr fontId="1"/>
  </si>
  <si>
    <t>令和4年4月</t>
    <rPh sb="0" eb="2">
      <t>レイワ</t>
    </rPh>
    <rPh sb="3" eb="4">
      <t>ネン</t>
    </rPh>
    <rPh sb="5" eb="6">
      <t>ガツ</t>
    </rPh>
    <phoneticPr fontId="1"/>
  </si>
  <si>
    <t>ガンダイオードの特徴</t>
    <rPh sb="8" eb="10">
      <t>トクチョウ</t>
    </rPh>
    <phoneticPr fontId="1"/>
  </si>
  <si>
    <t>A6</t>
    <phoneticPr fontId="1"/>
  </si>
  <si>
    <t>A7</t>
    <phoneticPr fontId="1"/>
  </si>
  <si>
    <t>A5</t>
    <phoneticPr fontId="1"/>
  </si>
  <si>
    <t>A8</t>
    <phoneticPr fontId="1"/>
  </si>
  <si>
    <t>水晶発振子の等価回路と電気的特性</t>
    <rPh sb="0" eb="2">
      <t>スイショウ</t>
    </rPh>
    <rPh sb="2" eb="4">
      <t>ハッシン</t>
    </rPh>
    <rPh sb="4" eb="5">
      <t>コ</t>
    </rPh>
    <rPh sb="6" eb="10">
      <t>トウカカイロ</t>
    </rPh>
    <rPh sb="11" eb="16">
      <t>デンキテキトクセイ</t>
    </rPh>
    <phoneticPr fontId="1"/>
  </si>
  <si>
    <t>水晶発振器（VCXO、TCXO、OCXO）の特徴</t>
    <rPh sb="0" eb="2">
      <t>スイショウ</t>
    </rPh>
    <rPh sb="2" eb="5">
      <t>ハッシンキ</t>
    </rPh>
    <rPh sb="22" eb="24">
      <t>トクチョウ</t>
    </rPh>
    <phoneticPr fontId="1"/>
  </si>
  <si>
    <t>円形コイルの中心における合成磁界の強さの計算</t>
    <phoneticPr fontId="1"/>
  </si>
  <si>
    <t>A2</t>
    <phoneticPr fontId="1"/>
  </si>
  <si>
    <t>A4</t>
    <phoneticPr fontId="1"/>
  </si>
  <si>
    <t>A3</t>
    <phoneticPr fontId="1"/>
  </si>
  <si>
    <t>複雑な複数抵抗接続による合成抵抗の計算</t>
    <rPh sb="0" eb="2">
      <t>フクザツ</t>
    </rPh>
    <phoneticPr fontId="1"/>
  </si>
  <si>
    <t>発振回路</t>
    <rPh sb="0" eb="4">
      <t>ハッシンカイロ</t>
    </rPh>
    <phoneticPr fontId="1"/>
  </si>
  <si>
    <t>位相差を考慮した電気回路の計算</t>
    <rPh sb="0" eb="3">
      <t>イソウサ</t>
    </rPh>
    <rPh sb="4" eb="6">
      <t>コウリョ</t>
    </rPh>
    <rPh sb="8" eb="12">
      <t>デンキカイロ</t>
    </rPh>
    <rPh sb="13" eb="15">
      <t>ケイサン</t>
    </rPh>
    <phoneticPr fontId="1"/>
  </si>
  <si>
    <t>ハートレー発振回路における周波数変動の計算</t>
    <rPh sb="5" eb="9">
      <t>ハッシンカイロ</t>
    </rPh>
    <rPh sb="13" eb="16">
      <t>シュウハスウ</t>
    </rPh>
    <rPh sb="16" eb="18">
      <t>ヘンドウ</t>
    </rPh>
    <rPh sb="19" eb="21">
      <t>ケイサン</t>
    </rPh>
    <phoneticPr fontId="1"/>
  </si>
  <si>
    <t>A9</t>
    <phoneticPr fontId="1"/>
  </si>
  <si>
    <t>A10</t>
    <phoneticPr fontId="1"/>
  </si>
  <si>
    <t>A11</t>
    <phoneticPr fontId="1"/>
  </si>
  <si>
    <t>A13</t>
    <phoneticPr fontId="1"/>
  </si>
  <si>
    <t>FM受信機の振幅制限器（リミタ）の説明</t>
    <rPh sb="2" eb="5">
      <t>ジュシンキ</t>
    </rPh>
    <rPh sb="6" eb="11">
      <t>シンプクセイゲンキ</t>
    </rPh>
    <rPh sb="17" eb="19">
      <t>セツメイ</t>
    </rPh>
    <phoneticPr fontId="1"/>
  </si>
  <si>
    <t>受信障害</t>
    <rPh sb="0" eb="4">
      <t>ジュシンショウガイ</t>
    </rPh>
    <phoneticPr fontId="1"/>
  </si>
  <si>
    <t>受信機の構造</t>
    <rPh sb="0" eb="3">
      <t>ジュシンキ</t>
    </rPh>
    <rPh sb="4" eb="6">
      <t>コウゾウ</t>
    </rPh>
    <phoneticPr fontId="1"/>
  </si>
  <si>
    <t>受信機の高周波増幅回路に要求される条件</t>
    <rPh sb="0" eb="3">
      <t>ジュシンキ</t>
    </rPh>
    <rPh sb="4" eb="7">
      <t>コウシュウハ</t>
    </rPh>
    <rPh sb="7" eb="11">
      <t>ゾウフクカイロ</t>
    </rPh>
    <rPh sb="12" eb="14">
      <t>ヨウキュウ</t>
    </rPh>
    <rPh sb="17" eb="19">
      <t>ジョウケン</t>
    </rPh>
    <phoneticPr fontId="1"/>
  </si>
  <si>
    <t>A15</t>
    <phoneticPr fontId="1"/>
  </si>
  <si>
    <t>A16</t>
    <phoneticPr fontId="1"/>
  </si>
  <si>
    <t>A17</t>
    <phoneticPr fontId="1"/>
  </si>
  <si>
    <t>直列制御形定電圧回路の動作原理</t>
    <rPh sb="11" eb="15">
      <t>ドウサゲンリ</t>
    </rPh>
    <phoneticPr fontId="1"/>
  </si>
  <si>
    <t>連続不出題回数</t>
    <rPh sb="0" eb="2">
      <t>レンゾク</t>
    </rPh>
    <rPh sb="2" eb="3">
      <t>フ</t>
    </rPh>
    <rPh sb="3" eb="5">
      <t>シュツダイ</t>
    </rPh>
    <rPh sb="5" eb="7">
      <t>カイスウ</t>
    </rPh>
    <phoneticPr fontId="1"/>
  </si>
  <si>
    <t>A18</t>
    <phoneticPr fontId="1"/>
  </si>
  <si>
    <t>A19</t>
    <phoneticPr fontId="1"/>
  </si>
  <si>
    <t>A20</t>
    <phoneticPr fontId="1"/>
  </si>
  <si>
    <t>A21</t>
    <phoneticPr fontId="1"/>
  </si>
  <si>
    <t>A22</t>
    <phoneticPr fontId="1"/>
  </si>
  <si>
    <t>VHF/UHF帯におけるフェージングの特徴</t>
    <rPh sb="7" eb="8">
      <t>タイ</t>
    </rPh>
    <rPh sb="19" eb="21">
      <t>トクチョウ</t>
    </rPh>
    <phoneticPr fontId="1"/>
  </si>
  <si>
    <t>A23</t>
    <phoneticPr fontId="1"/>
  </si>
  <si>
    <t>A24</t>
    <phoneticPr fontId="1"/>
  </si>
  <si>
    <t>B1</t>
    <phoneticPr fontId="1"/>
  </si>
  <si>
    <t>磁界の説明</t>
    <rPh sb="0" eb="2">
      <t>ジカイ</t>
    </rPh>
    <rPh sb="3" eb="5">
      <t>セツメイ</t>
    </rPh>
    <phoneticPr fontId="1"/>
  </si>
  <si>
    <t>電気物理現象</t>
    <rPh sb="0" eb="2">
      <t>デンキ</t>
    </rPh>
    <rPh sb="2" eb="4">
      <t>ブツリ</t>
    </rPh>
    <rPh sb="4" eb="6">
      <t>ゲンショウ</t>
    </rPh>
    <phoneticPr fontId="1"/>
  </si>
  <si>
    <t>B2</t>
    <phoneticPr fontId="1"/>
  </si>
  <si>
    <t>B3</t>
    <phoneticPr fontId="1"/>
  </si>
  <si>
    <t>指向性アンテナについての説明</t>
    <rPh sb="0" eb="3">
      <t>シコウセイ</t>
    </rPh>
    <rPh sb="12" eb="14">
      <t>セツメイ</t>
    </rPh>
    <phoneticPr fontId="1"/>
  </si>
  <si>
    <t>B4</t>
    <phoneticPr fontId="1"/>
  </si>
  <si>
    <t>B5</t>
    <phoneticPr fontId="1"/>
  </si>
  <si>
    <t>電圧反射係数・VSWR・リターンロスに関する計算</t>
    <rPh sb="0" eb="2">
      <t>デンアツ</t>
    </rPh>
    <rPh sb="2" eb="4">
      <t>ハンシャ</t>
    </rPh>
    <rPh sb="4" eb="6">
      <t>ケイスウ</t>
    </rPh>
    <rPh sb="19" eb="20">
      <t>カン</t>
    </rPh>
    <rPh sb="22" eb="24">
      <t>ケイサン</t>
    </rPh>
    <phoneticPr fontId="1"/>
  </si>
  <si>
    <t>出題頻度</t>
    <rPh sb="0" eb="2">
      <t>シュツダイ</t>
    </rPh>
    <rPh sb="2" eb="4">
      <t>ヒンド</t>
    </rPh>
    <phoneticPr fontId="1"/>
  </si>
  <si>
    <t>A2</t>
    <phoneticPr fontId="1"/>
  </si>
  <si>
    <t>A3</t>
    <phoneticPr fontId="1"/>
  </si>
  <si>
    <t>A4</t>
    <phoneticPr fontId="1"/>
  </si>
  <si>
    <t>A5</t>
    <phoneticPr fontId="1"/>
  </si>
  <si>
    <t>A6</t>
    <phoneticPr fontId="1"/>
  </si>
  <si>
    <t>A8</t>
    <phoneticPr fontId="1"/>
  </si>
  <si>
    <t>A9</t>
    <phoneticPr fontId="1"/>
  </si>
  <si>
    <t>A10</t>
    <phoneticPr fontId="1"/>
  </si>
  <si>
    <t>デジタル通信におけるビットレート</t>
    <phoneticPr fontId="1"/>
  </si>
  <si>
    <t>A11</t>
    <phoneticPr fontId="1"/>
  </si>
  <si>
    <t>A12</t>
    <phoneticPr fontId="1"/>
  </si>
  <si>
    <t>OTL/SEPPプッシュプル増幅回路の動作原理</t>
    <phoneticPr fontId="1"/>
  </si>
  <si>
    <t>A7</t>
    <phoneticPr fontId="1"/>
  </si>
  <si>
    <t>環状鉄心にコイルを巻いたときのインダクタンスの特徴と計算</t>
    <rPh sb="0" eb="2">
      <t>カンジョウ</t>
    </rPh>
    <rPh sb="2" eb="4">
      <t>テッシン</t>
    </rPh>
    <rPh sb="9" eb="10">
      <t>マ</t>
    </rPh>
    <rPh sb="23" eb="25">
      <t>トクチョウ</t>
    </rPh>
    <rPh sb="26" eb="28">
      <t>ケイサン</t>
    </rPh>
    <phoneticPr fontId="1"/>
  </si>
  <si>
    <t>コンデンサ直列接続時の静電エネルギーと電圧の計算</t>
    <rPh sb="5" eb="7">
      <t>チョクレツ</t>
    </rPh>
    <rPh sb="7" eb="10">
      <t>セツゾクジ</t>
    </rPh>
    <rPh sb="11" eb="13">
      <t>セイデン</t>
    </rPh>
    <rPh sb="19" eb="21">
      <t>デンアツ</t>
    </rPh>
    <rPh sb="22" eb="24">
      <t>ケイサン</t>
    </rPh>
    <phoneticPr fontId="1"/>
  </si>
  <si>
    <t>A1</t>
    <phoneticPr fontId="1"/>
  </si>
  <si>
    <t>比誘電率が異なる直列接続コンデンサの静電容量と電圧の計算</t>
    <rPh sb="23" eb="25">
      <t>デンアツ</t>
    </rPh>
    <phoneticPr fontId="1"/>
  </si>
  <si>
    <t>LC並列回路のリアクタンス周波数特性曲線</t>
    <rPh sb="2" eb="4">
      <t>ヘイレツ</t>
    </rPh>
    <rPh sb="4" eb="6">
      <t>カイロ</t>
    </rPh>
    <rPh sb="13" eb="16">
      <t>シュウハスウ</t>
    </rPh>
    <rPh sb="16" eb="18">
      <t>トクセイ</t>
    </rPh>
    <rPh sb="18" eb="20">
      <t>キョクセン</t>
    </rPh>
    <phoneticPr fontId="1"/>
  </si>
  <si>
    <t>A13</t>
    <phoneticPr fontId="1"/>
  </si>
  <si>
    <t>A14</t>
    <phoneticPr fontId="1"/>
  </si>
  <si>
    <t>FM受信機のスケルチの回路動作の説明</t>
    <rPh sb="2" eb="5">
      <t>ジュシンキ</t>
    </rPh>
    <rPh sb="11" eb="13">
      <t>カイロ</t>
    </rPh>
    <rPh sb="13" eb="15">
      <t>ドウサ</t>
    </rPh>
    <rPh sb="16" eb="18">
      <t>セツメイ</t>
    </rPh>
    <phoneticPr fontId="1"/>
  </si>
  <si>
    <t>受信機におけるS/N比についての説明</t>
    <rPh sb="0" eb="3">
      <t>ジュシンキ</t>
    </rPh>
    <rPh sb="10" eb="11">
      <t>ヒ</t>
    </rPh>
    <rPh sb="16" eb="18">
      <t>セツメイ</t>
    </rPh>
    <phoneticPr fontId="1"/>
  </si>
  <si>
    <t>A15</t>
    <phoneticPr fontId="1"/>
  </si>
  <si>
    <t>A16</t>
    <phoneticPr fontId="1"/>
  </si>
  <si>
    <t>A17</t>
    <phoneticPr fontId="1"/>
  </si>
  <si>
    <t>A18</t>
    <phoneticPr fontId="1"/>
  </si>
  <si>
    <t>定在波、VSWRなどに関する説明</t>
    <rPh sb="0" eb="3">
      <t>テイザイハ</t>
    </rPh>
    <rPh sb="11" eb="12">
      <t>カン</t>
    </rPh>
    <rPh sb="14" eb="16">
      <t>セツメイ</t>
    </rPh>
    <phoneticPr fontId="1"/>
  </si>
  <si>
    <t>A19</t>
    <phoneticPr fontId="1"/>
  </si>
  <si>
    <t>A20</t>
    <phoneticPr fontId="1"/>
  </si>
  <si>
    <t>A21</t>
    <phoneticPr fontId="1"/>
  </si>
  <si>
    <t>A22</t>
    <phoneticPr fontId="1"/>
  </si>
  <si>
    <t>CM形方向性結合器による空中線系の測定</t>
    <rPh sb="2" eb="3">
      <t>ガタ</t>
    </rPh>
    <rPh sb="3" eb="6">
      <t>ホウコウセイ</t>
    </rPh>
    <rPh sb="6" eb="8">
      <t>ケツゴウ</t>
    </rPh>
    <rPh sb="8" eb="9">
      <t>キ</t>
    </rPh>
    <rPh sb="12" eb="15">
      <t>クウチュウセン</t>
    </rPh>
    <rPh sb="15" eb="16">
      <t>ケイ</t>
    </rPh>
    <rPh sb="17" eb="19">
      <t>ソクテイ</t>
    </rPh>
    <phoneticPr fontId="1"/>
  </si>
  <si>
    <t>A23</t>
    <phoneticPr fontId="1"/>
  </si>
  <si>
    <t>A24</t>
    <phoneticPr fontId="1"/>
  </si>
  <si>
    <t>接地抵抗の測定</t>
    <rPh sb="0" eb="4">
      <t>セッチテイコウ</t>
    </rPh>
    <rPh sb="5" eb="7">
      <t>ソクテイ</t>
    </rPh>
    <phoneticPr fontId="1"/>
  </si>
  <si>
    <t>アマチュア衛星通信についての説明</t>
    <rPh sb="5" eb="7">
      <t>エイセイ</t>
    </rPh>
    <rPh sb="7" eb="9">
      <t>ツウシン</t>
    </rPh>
    <rPh sb="14" eb="16">
      <t>セツメイ</t>
    </rPh>
    <phoneticPr fontId="1"/>
  </si>
  <si>
    <t>A25</t>
    <phoneticPr fontId="1"/>
  </si>
  <si>
    <t>電磁誘導の説明</t>
    <rPh sb="0" eb="4">
      <t>デンジユウドウ</t>
    </rPh>
    <rPh sb="5" eb="7">
      <t>セツメイ</t>
    </rPh>
    <phoneticPr fontId="1"/>
  </si>
  <si>
    <t>B1</t>
    <phoneticPr fontId="1"/>
  </si>
  <si>
    <t>可変容量ダイオードの特徴</t>
    <rPh sb="0" eb="4">
      <t>カヘンヨウリョウ</t>
    </rPh>
    <rPh sb="10" eb="12">
      <t>トクチョウ</t>
    </rPh>
    <phoneticPr fontId="1"/>
  </si>
  <si>
    <t>B2</t>
    <phoneticPr fontId="1"/>
  </si>
  <si>
    <t>アンテナの利得に関する説明</t>
    <rPh sb="5" eb="7">
      <t>リトク</t>
    </rPh>
    <rPh sb="8" eb="9">
      <t>カン</t>
    </rPh>
    <rPh sb="11" eb="13">
      <t>セツメイ</t>
    </rPh>
    <phoneticPr fontId="1"/>
  </si>
  <si>
    <t>B3</t>
    <phoneticPr fontId="1"/>
  </si>
  <si>
    <t>B4</t>
    <phoneticPr fontId="1"/>
  </si>
  <si>
    <t>B5</t>
    <phoneticPr fontId="1"/>
  </si>
  <si>
    <t>比誘電率と電極間距離を変化させたときのコンデンサの静電容量の計算</t>
    <rPh sb="5" eb="10">
      <t>デンキョクカンキョリ</t>
    </rPh>
    <rPh sb="11" eb="13">
      <t>ヘンカ</t>
    </rPh>
    <phoneticPr fontId="1"/>
  </si>
  <si>
    <t>ビオ・サバールの法則による磁界強度の計算</t>
    <phoneticPr fontId="1"/>
  </si>
  <si>
    <t>エミッタ接地で用いるトランジスタの静特性曲線とｈパラメータ</t>
    <rPh sb="4" eb="6">
      <t>セッチ</t>
    </rPh>
    <rPh sb="7" eb="8">
      <t>モチ</t>
    </rPh>
    <rPh sb="17" eb="20">
      <t>セイトクセイ</t>
    </rPh>
    <rPh sb="20" eb="22">
      <t>キョクセン</t>
    </rPh>
    <phoneticPr fontId="1"/>
  </si>
  <si>
    <t>パルス符号（PCM）方式を用いた伝送系の原理的な構成</t>
    <rPh sb="3" eb="5">
      <t>フゴウ</t>
    </rPh>
    <rPh sb="10" eb="12">
      <t>ホウシキ</t>
    </rPh>
    <rPh sb="13" eb="14">
      <t>モチ</t>
    </rPh>
    <rPh sb="16" eb="18">
      <t>デンソウ</t>
    </rPh>
    <rPh sb="18" eb="19">
      <t>ケイ</t>
    </rPh>
    <rPh sb="20" eb="23">
      <t>ゲンリテキ</t>
    </rPh>
    <rPh sb="24" eb="26">
      <t>コウセイ</t>
    </rPh>
    <phoneticPr fontId="1"/>
  </si>
  <si>
    <t>1/4波長垂直接地アンテナの放射電力と放射効率の計算</t>
    <phoneticPr fontId="1"/>
  </si>
  <si>
    <t>電波伝搬共通</t>
    <rPh sb="0" eb="4">
      <t>デンパデンパン</t>
    </rPh>
    <rPh sb="4" eb="6">
      <t>キョウツウ</t>
    </rPh>
    <phoneticPr fontId="1"/>
  </si>
  <si>
    <t>周波数帯ごとの電離層伝搬の特徴</t>
    <rPh sb="0" eb="4">
      <t>シュウハスウタイ</t>
    </rPh>
    <rPh sb="7" eb="12">
      <t>デンリソウデンパン</t>
    </rPh>
    <rPh sb="13" eb="15">
      <t>トクチョウ</t>
    </rPh>
    <phoneticPr fontId="1"/>
  </si>
  <si>
    <t>永久磁石可動コイル形電流計の動作原理</t>
    <rPh sb="0" eb="4">
      <t>エイキュウジシャク</t>
    </rPh>
    <rPh sb="4" eb="6">
      <t>カドウ</t>
    </rPh>
    <rPh sb="9" eb="10">
      <t>ガタ</t>
    </rPh>
    <rPh sb="10" eb="13">
      <t>デンリュウケイ</t>
    </rPh>
    <phoneticPr fontId="1"/>
  </si>
  <si>
    <t>令和3年12月</t>
    <rPh sb="0" eb="2">
      <t>レイワ</t>
    </rPh>
    <rPh sb="3" eb="4">
      <t>ネン</t>
    </rPh>
    <rPh sb="6" eb="7">
      <t>ガツ</t>
    </rPh>
    <phoneticPr fontId="1"/>
  </si>
  <si>
    <t>令和3年4月</t>
    <rPh sb="0" eb="2">
      <t>レイワ</t>
    </rPh>
    <rPh sb="3" eb="4">
      <t>ネン</t>
    </rPh>
    <rPh sb="5" eb="6">
      <t>ガツ</t>
    </rPh>
    <phoneticPr fontId="1"/>
  </si>
  <si>
    <t>令和3年9月</t>
    <rPh sb="0" eb="2">
      <t>レイワ</t>
    </rPh>
    <rPh sb="3" eb="4">
      <t>ネン</t>
    </rPh>
    <rPh sb="5" eb="6">
      <t>ガツ</t>
    </rPh>
    <phoneticPr fontId="1"/>
  </si>
  <si>
    <t>A2</t>
    <phoneticPr fontId="1"/>
  </si>
  <si>
    <t>コンデンサ直列接続時の静電容量と端子電圧の計算</t>
    <rPh sb="5" eb="7">
      <t>チョクレツ</t>
    </rPh>
    <rPh sb="7" eb="10">
      <t>セツゾクジ</t>
    </rPh>
    <rPh sb="11" eb="13">
      <t>セイデン</t>
    </rPh>
    <rPh sb="13" eb="15">
      <t>ヨウリョウ</t>
    </rPh>
    <rPh sb="16" eb="18">
      <t>タンシ</t>
    </rPh>
    <rPh sb="18" eb="20">
      <t>デンアツ</t>
    </rPh>
    <rPh sb="21" eb="23">
      <t>ケイサン</t>
    </rPh>
    <phoneticPr fontId="1"/>
  </si>
  <si>
    <t>A1</t>
    <phoneticPr fontId="1"/>
  </si>
  <si>
    <t>A3</t>
    <phoneticPr fontId="1"/>
  </si>
  <si>
    <t>A4</t>
    <phoneticPr fontId="1"/>
  </si>
  <si>
    <t>A5</t>
    <phoneticPr fontId="1"/>
  </si>
  <si>
    <t>A6</t>
    <phoneticPr fontId="1"/>
  </si>
  <si>
    <t>A7</t>
    <phoneticPr fontId="1"/>
  </si>
  <si>
    <t>各種ダイオードの特徴</t>
    <rPh sb="0" eb="2">
      <t>カクシュ</t>
    </rPh>
    <rPh sb="8" eb="10">
      <t>トクチョウ</t>
    </rPh>
    <phoneticPr fontId="1"/>
  </si>
  <si>
    <t>A8</t>
    <phoneticPr fontId="1"/>
  </si>
  <si>
    <t>オペアンプを用いた増幅回路の利得と抵抗値に関する計算</t>
    <rPh sb="6" eb="7">
      <t>モチ</t>
    </rPh>
    <rPh sb="9" eb="13">
      <t>ゾウフクカイロ</t>
    </rPh>
    <rPh sb="14" eb="16">
      <t>リトク</t>
    </rPh>
    <rPh sb="17" eb="20">
      <t>テイコウチ</t>
    </rPh>
    <rPh sb="21" eb="22">
      <t>カン</t>
    </rPh>
    <rPh sb="24" eb="26">
      <t>ケイサン</t>
    </rPh>
    <phoneticPr fontId="1"/>
  </si>
  <si>
    <t>A9</t>
    <phoneticPr fontId="1"/>
  </si>
  <si>
    <t>論理回路と論理式の正しい組み合わせ</t>
    <rPh sb="5" eb="8">
      <t>ロンリシキ</t>
    </rPh>
    <rPh sb="9" eb="10">
      <t>タダ</t>
    </rPh>
    <rPh sb="12" eb="13">
      <t>ク</t>
    </rPh>
    <rPh sb="14" eb="15">
      <t>ア</t>
    </rPh>
    <phoneticPr fontId="1"/>
  </si>
  <si>
    <t>A10</t>
    <phoneticPr fontId="1"/>
  </si>
  <si>
    <t>電鍵操作回路の説明</t>
    <rPh sb="0" eb="2">
      <t>デンケン</t>
    </rPh>
    <rPh sb="2" eb="6">
      <t>ソウサカイロ</t>
    </rPh>
    <rPh sb="7" eb="9">
      <t>セツメイ</t>
    </rPh>
    <phoneticPr fontId="1"/>
  </si>
  <si>
    <t>A11</t>
    <phoneticPr fontId="1"/>
  </si>
  <si>
    <t>A12</t>
    <phoneticPr fontId="1"/>
  </si>
  <si>
    <t>A13</t>
    <phoneticPr fontId="1"/>
  </si>
  <si>
    <t>A14</t>
    <phoneticPr fontId="1"/>
  </si>
  <si>
    <t>A15</t>
    <phoneticPr fontId="1"/>
  </si>
  <si>
    <t>混変調についての説明</t>
    <rPh sb="0" eb="3">
      <t>コンヘンチョウ</t>
    </rPh>
    <rPh sb="8" eb="10">
      <t>セツメイ</t>
    </rPh>
    <phoneticPr fontId="1"/>
  </si>
  <si>
    <t>A16</t>
    <phoneticPr fontId="1"/>
  </si>
  <si>
    <t>A17</t>
    <phoneticPr fontId="1"/>
  </si>
  <si>
    <t>A18</t>
    <phoneticPr fontId="1"/>
  </si>
  <si>
    <t>1/4波長垂直接地アンテナの特徴</t>
    <rPh sb="14" eb="16">
      <t>トクチョウ</t>
    </rPh>
    <phoneticPr fontId="1"/>
  </si>
  <si>
    <t>A19</t>
    <phoneticPr fontId="1"/>
  </si>
  <si>
    <t>A20</t>
    <phoneticPr fontId="1"/>
  </si>
  <si>
    <t>A21</t>
    <phoneticPr fontId="1"/>
  </si>
  <si>
    <t>各電離層の状態の特徴</t>
    <rPh sb="0" eb="4">
      <t>カクデンリソウ</t>
    </rPh>
    <rPh sb="5" eb="7">
      <t>ジョウタイ</t>
    </rPh>
    <rPh sb="8" eb="10">
      <t>トクチョウ</t>
    </rPh>
    <phoneticPr fontId="1"/>
  </si>
  <si>
    <t>A22</t>
    <phoneticPr fontId="1"/>
  </si>
  <si>
    <t>A23</t>
    <phoneticPr fontId="1"/>
  </si>
  <si>
    <t>A25</t>
    <phoneticPr fontId="1"/>
  </si>
  <si>
    <t>熱電対形計器の動作原理</t>
    <rPh sb="0" eb="3">
      <t>ネツデンツイ</t>
    </rPh>
    <rPh sb="3" eb="4">
      <t>カタチ</t>
    </rPh>
    <rPh sb="4" eb="6">
      <t>ケイキ</t>
    </rPh>
    <phoneticPr fontId="1"/>
  </si>
  <si>
    <t>A24</t>
    <phoneticPr fontId="1"/>
  </si>
  <si>
    <t>B1</t>
    <phoneticPr fontId="1"/>
  </si>
  <si>
    <t>B2</t>
    <phoneticPr fontId="1"/>
  </si>
  <si>
    <t>B4</t>
    <phoneticPr fontId="1"/>
  </si>
  <si>
    <t>B3</t>
    <phoneticPr fontId="1"/>
  </si>
  <si>
    <t>B5</t>
    <phoneticPr fontId="1"/>
  </si>
  <si>
    <t>環状鉄心にコイルを巻いたときのコイルに流す電流の計算</t>
    <rPh sb="0" eb="2">
      <t>カンジョウ</t>
    </rPh>
    <rPh sb="2" eb="4">
      <t>テッシン</t>
    </rPh>
    <rPh sb="9" eb="10">
      <t>マ</t>
    </rPh>
    <rPh sb="19" eb="20">
      <t>ナガ</t>
    </rPh>
    <rPh sb="21" eb="23">
      <t>デンリュウ</t>
    </rPh>
    <rPh sb="24" eb="26">
      <t>ケイサン</t>
    </rPh>
    <phoneticPr fontId="1"/>
  </si>
  <si>
    <t>3端子接続形トランジスタ発振回路の原理的構成例</t>
    <rPh sb="1" eb="3">
      <t>タンシ</t>
    </rPh>
    <rPh sb="3" eb="5">
      <t>セツゾク</t>
    </rPh>
    <rPh sb="5" eb="6">
      <t>カタチ</t>
    </rPh>
    <rPh sb="12" eb="14">
      <t>ハッシン</t>
    </rPh>
    <rPh sb="14" eb="16">
      <t>カイロ</t>
    </rPh>
    <rPh sb="17" eb="20">
      <t>ゲンリテキ</t>
    </rPh>
    <rPh sb="20" eb="22">
      <t>コウセイ</t>
    </rPh>
    <rPh sb="22" eb="23">
      <t>レイ</t>
    </rPh>
    <phoneticPr fontId="1"/>
  </si>
  <si>
    <t>負帰還増幅回路の位相差と帰還率</t>
    <rPh sb="0" eb="3">
      <t>フキカン</t>
    </rPh>
    <rPh sb="3" eb="5">
      <t>ゾウフク</t>
    </rPh>
    <rPh sb="5" eb="7">
      <t>カイロ</t>
    </rPh>
    <rPh sb="8" eb="11">
      <t>イソウサ</t>
    </rPh>
    <rPh sb="12" eb="15">
      <t>キカンリツ</t>
    </rPh>
    <phoneticPr fontId="1"/>
  </si>
  <si>
    <t>DSB送信機の変調度・搬送波電力・平均電力・送信出力の知識と計算</t>
    <rPh sb="3" eb="6">
      <t>ソウシンキ</t>
    </rPh>
    <rPh sb="7" eb="10">
      <t>ヘンチョウド</t>
    </rPh>
    <rPh sb="11" eb="14">
      <t>ハンソウハ</t>
    </rPh>
    <rPh sb="14" eb="16">
      <t>デンリョク</t>
    </rPh>
    <rPh sb="17" eb="21">
      <t>ヘイキンデンリョク</t>
    </rPh>
    <rPh sb="22" eb="26">
      <t>ソウシンシュツリョク</t>
    </rPh>
    <rPh sb="27" eb="29">
      <t>チシキ</t>
    </rPh>
    <phoneticPr fontId="1"/>
  </si>
  <si>
    <t>電界の説明</t>
    <rPh sb="0" eb="2">
      <t>デンカイ</t>
    </rPh>
    <rPh sb="3" eb="5">
      <t>セツメイ</t>
    </rPh>
    <phoneticPr fontId="1"/>
  </si>
  <si>
    <t>1/4波長整合回路によるアンテナ入力インピーダンスの計算</t>
    <phoneticPr fontId="1"/>
  </si>
  <si>
    <t>スミスチャートの概略説明</t>
    <rPh sb="8" eb="10">
      <t>ガイリャク</t>
    </rPh>
    <rPh sb="10" eb="12">
      <t>セツメイ</t>
    </rPh>
    <phoneticPr fontId="1"/>
  </si>
  <si>
    <t>FFTアナライザの構成例</t>
    <rPh sb="9" eb="11">
      <t>コウセイ</t>
    </rPh>
    <rPh sb="11" eb="12">
      <t>レイ</t>
    </rPh>
    <phoneticPr fontId="1"/>
  </si>
  <si>
    <t>スリーブアンテナの特徴</t>
    <rPh sb="9" eb="11">
      <t>トクチョウ</t>
    </rPh>
    <phoneticPr fontId="1"/>
  </si>
  <si>
    <t>過去12期
出題確率
※直近除く</t>
    <rPh sb="0" eb="2">
      <t>カコ</t>
    </rPh>
    <rPh sb="4" eb="5">
      <t>キ</t>
    </rPh>
    <rPh sb="6" eb="8">
      <t>シュツダイ</t>
    </rPh>
    <rPh sb="8" eb="10">
      <t>カクリツ</t>
    </rPh>
    <rPh sb="12" eb="14">
      <t>チョッキン</t>
    </rPh>
    <rPh sb="14" eb="15">
      <t>ノゾ</t>
    </rPh>
    <phoneticPr fontId="1"/>
  </si>
  <si>
    <t>★★</t>
  </si>
  <si>
    <t>★★★</t>
  </si>
  <si>
    <t>★</t>
  </si>
  <si>
    <t>★★★★</t>
  </si>
  <si>
    <t>★★★★★</t>
  </si>
  <si>
    <t>★★★★</t>
    <phoneticPr fontId="1"/>
  </si>
  <si>
    <t>★★★★★</t>
    <phoneticPr fontId="1"/>
  </si>
  <si>
    <t>（集計用非表示行）</t>
    <rPh sb="1" eb="4">
      <t>シュウケイヨウ</t>
    </rPh>
    <rPh sb="4" eb="7">
      <t>ヒヒョウジ</t>
    </rPh>
    <rPh sb="7" eb="8">
      <t>ギョウ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</si>
</sst>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5">
    <font>
      <sz val="11"/>
      <color theme="1"/>
      <name val="Yu Gothic"/>
      <family val="2"/>
      <scheme val="minor"/>
    </font>
    <font>
      <sz val="6"/>
      <name val="Yu Gothic"/>
      <family val="3"/>
      <charset val="128"/>
      <scheme val="minor"/>
    </font>
    <font>
      <sz val="11"/>
      <color theme="1"/>
      <name val="Meiryo UI"/>
      <family val="3"/>
      <charset val="128"/>
    </font>
    <font>
      <sz val="9"/>
      <color indexed="81"/>
      <name val="MS P ゴシック"/>
      <family val="3"/>
      <charset val="128"/>
    </font>
    <font>
      <b/>
      <sz val="9"/>
      <color indexed="81"/>
      <name val="MS P ゴシック"/>
      <family val="3"/>
      <charset val="128"/>
    </font>
  </fonts>
  <fills count="7">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FF00"/>
        <bgColor indexed="64"/>
      </patternFill>
    </fill>
  </fills>
  <borders count="2">
    <border>
      <left/>
      <right/>
      <top/>
      <bottom/>
      <diagonal/>
    </border>
    <border>
      <left/>
      <right/>
      <top/>
      <bottom style="thin">
        <color indexed="64"/>
      </bottom>
      <diagonal/>
    </border>
  </borders>
  <cellStyleXfs count="1">
    <xf numFmtId="0" fontId="0" fillId="0" borderId="0"/>
  </cellStyleXfs>
  <cellXfs count="17">
    <xf numFmtId="0" fontId="0" fillId="0" borderId="0" xfId="0"/>
    <xf numFmtId="0" fontId="2" fillId="0" borderId="0" xfId="0" applyFont="1"/>
    <xf numFmtId="0" fontId="2" fillId="0" borderId="0" xfId="0" applyFont="1" applyAlignment="1">
      <alignment horizontal="center"/>
    </xf>
    <xf numFmtId="0" fontId="2" fillId="2" borderId="0" xfId="0" applyFont="1" applyFill="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0" borderId="0" xfId="0" applyFont="1" applyAlignment="1">
      <alignment horizontal="center" wrapText="1"/>
    </xf>
    <xf numFmtId="0" fontId="2" fillId="5" borderId="0" xfId="0" applyFont="1" applyFill="1" applyAlignment="1">
      <alignment wrapText="1"/>
    </xf>
    <xf numFmtId="0" fontId="2" fillId="2" borderId="0" xfId="0" applyFont="1" applyFill="1" applyAlignment="1">
      <alignment wrapText="1"/>
    </xf>
    <xf numFmtId="0" fontId="2" fillId="4" borderId="0" xfId="0" applyFont="1" applyFill="1" applyAlignment="1">
      <alignment wrapText="1"/>
    </xf>
    <xf numFmtId="0" fontId="2" fillId="6" borderId="0" xfId="0" applyFont="1" applyFill="1"/>
    <xf numFmtId="176" fontId="2" fillId="0" borderId="0" xfId="0" applyNumberFormat="1" applyFont="1" applyAlignment="1" applyProtection="1">
      <alignment horizontal="center"/>
      <protection locked="0"/>
    </xf>
    <xf numFmtId="0" fontId="2" fillId="0" borderId="0" xfId="0" applyFont="1" applyAlignment="1">
      <alignment horizontal="right"/>
    </xf>
    <xf numFmtId="0" fontId="2" fillId="0" borderId="1" xfId="0" applyFont="1" applyBorder="1"/>
    <xf numFmtId="0" fontId="2" fillId="0" borderId="1" xfId="0" applyFont="1" applyBorder="1" applyAlignment="1">
      <alignment horizontal="center"/>
    </xf>
    <xf numFmtId="176" fontId="2" fillId="0" borderId="0" xfId="0" applyNumberFormat="1" applyFont="1" applyAlignment="1">
      <alignment horizontal="center"/>
    </xf>
    <xf numFmtId="0" fontId="2" fillId="0" borderId="0" xfId="0" applyFont="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36"/>
  <sheetViews>
    <sheetView tabSelected="1" workbookViewId="0">
      <pane ySplit="1" topLeftCell="A2" activePane="bottomLeft" state="frozen"/>
      <selection pane="bottomLeft" activeCell="V12" sqref="V12"/>
    </sheetView>
  </sheetViews>
  <sheetFormatPr defaultRowHeight="15"/>
  <cols>
    <col min="1" max="1" width="14" style="1" bestFit="1" customWidth="1"/>
    <col min="2" max="2" width="15.09765625" style="1" bestFit="1" customWidth="1"/>
    <col min="3" max="3" width="14" style="1" bestFit="1" customWidth="1"/>
    <col min="4" max="4" width="14" style="1" hidden="1" customWidth="1"/>
    <col min="5" max="5" width="6" style="2" customWidth="1"/>
    <col min="6" max="6" width="62.5" style="1" bestFit="1" customWidth="1"/>
    <col min="7" max="7" width="6.796875" style="2" bestFit="1" customWidth="1"/>
    <col min="8" max="10" width="6" style="2" customWidth="1"/>
    <col min="11" max="11" width="9.5" style="2" bestFit="1" customWidth="1"/>
    <col min="12" max="12" width="10.3984375" style="2" bestFit="1" customWidth="1"/>
    <col min="13" max="27" width="4.796875" style="1" bestFit="1" customWidth="1"/>
    <col min="28" max="16384" width="8.796875" style="1"/>
  </cols>
  <sheetData>
    <row r="1" spans="1:27" ht="60">
      <c r="A1" s="1" t="s">
        <v>12</v>
      </c>
      <c r="B1" s="1" t="s">
        <v>11</v>
      </c>
      <c r="C1" s="1" t="s">
        <v>87</v>
      </c>
      <c r="E1" s="6" t="s">
        <v>443</v>
      </c>
      <c r="F1" s="1" t="s">
        <v>88</v>
      </c>
      <c r="G1" s="6" t="s">
        <v>4</v>
      </c>
      <c r="H1" s="6" t="s">
        <v>236</v>
      </c>
      <c r="I1" s="6" t="s">
        <v>310</v>
      </c>
      <c r="J1" s="6" t="s">
        <v>476</v>
      </c>
      <c r="K1" s="6" t="s">
        <v>599</v>
      </c>
      <c r="L1" s="6" t="s">
        <v>494</v>
      </c>
      <c r="M1" s="7" t="s">
        <v>112</v>
      </c>
      <c r="N1" s="8" t="s">
        <v>13</v>
      </c>
      <c r="O1" s="8" t="s">
        <v>58</v>
      </c>
      <c r="P1" s="9" t="s">
        <v>79</v>
      </c>
      <c r="Q1" s="9" t="s">
        <v>213</v>
      </c>
      <c r="R1" s="9" t="s">
        <v>266</v>
      </c>
      <c r="S1" s="8" t="s">
        <v>318</v>
      </c>
      <c r="T1" s="8" t="s">
        <v>319</v>
      </c>
      <c r="U1" s="8" t="s">
        <v>320</v>
      </c>
      <c r="V1" s="9" t="s">
        <v>446</v>
      </c>
      <c r="W1" s="9" t="s">
        <v>447</v>
      </c>
      <c r="X1" s="9" t="s">
        <v>448</v>
      </c>
      <c r="Y1" s="8" t="s">
        <v>548</v>
      </c>
      <c r="Z1" s="8" t="s">
        <v>550</v>
      </c>
      <c r="AA1" s="8" t="s">
        <v>549</v>
      </c>
    </row>
    <row r="2" spans="1:27">
      <c r="A2" s="1" t="s">
        <v>0</v>
      </c>
      <c r="B2" s="1" t="s">
        <v>2</v>
      </c>
      <c r="C2" s="1" t="s">
        <v>89</v>
      </c>
      <c r="E2" s="2">
        <f>SUM(H2:H4)</f>
        <v>7</v>
      </c>
      <c r="F2" s="1" t="s">
        <v>1</v>
      </c>
      <c r="G2" s="3" t="s">
        <v>5</v>
      </c>
      <c r="H2" s="2">
        <f t="shared" ref="H2:H16" si="0">COUNTA(M2:AP2)</f>
        <v>2</v>
      </c>
      <c r="I2" s="2">
        <f t="shared" ref="I2:I16" si="1">COUNTA(N2:AQ2)</f>
        <v>2</v>
      </c>
      <c r="J2" s="2" cm="1">
        <f t="array" ref="J2">MATCH(TRUE,M2:AA2&lt;&gt;"",0)-1</f>
        <v>1</v>
      </c>
      <c r="K2" s="11">
        <f>COUNTA(N2:Y2)/COUNTA($N$1:$Y$1)*100</f>
        <v>16.666666666666664</v>
      </c>
      <c r="L2" s="11" t="str">
        <f>IF(K2&gt;=33,"★★★★★",IF(K2&gt;=25,"★★★★",IF(K2&gt;=15,"★★★",IF(K2&gt;=5,"★★","★"))))</f>
        <v>★★★</v>
      </c>
      <c r="N2" s="1" t="s">
        <v>14</v>
      </c>
      <c r="Q2" s="1" t="s">
        <v>214</v>
      </c>
    </row>
    <row r="3" spans="1:27">
      <c r="F3" s="1" t="s">
        <v>508</v>
      </c>
      <c r="G3" s="5" t="s">
        <v>84</v>
      </c>
      <c r="H3" s="2">
        <f t="shared" si="0"/>
        <v>4</v>
      </c>
      <c r="I3" s="2">
        <f t="shared" si="1"/>
        <v>3</v>
      </c>
      <c r="J3" s="2" cm="1">
        <f t="array" ref="J3">MATCH(TRUE,M3:AA3&lt;&gt;"",0)-1</f>
        <v>0</v>
      </c>
      <c r="K3" s="11">
        <f t="shared" ref="K3:K66" si="2">COUNTA(N3:Y3)/COUNTA($N$1:$Y$1)*100</f>
        <v>25</v>
      </c>
      <c r="L3" s="11" t="str">
        <f t="shared" ref="L3:L66" si="3">IF(K3&gt;=33,"★★★★★",IF(K3&gt;=25,"★★★★",IF(K3&gt;=15,"★★★",IF(K3&gt;=5,"★★","★"))))</f>
        <v>★★★★</v>
      </c>
      <c r="M3" s="1" t="s">
        <v>52</v>
      </c>
      <c r="O3" s="1" t="s">
        <v>53</v>
      </c>
      <c r="R3" s="1" t="s">
        <v>269</v>
      </c>
      <c r="W3" s="1" t="s">
        <v>495</v>
      </c>
    </row>
    <row r="4" spans="1:27">
      <c r="F4" s="1" t="s">
        <v>194</v>
      </c>
      <c r="G4" s="4" t="s">
        <v>6</v>
      </c>
      <c r="H4" s="2">
        <f t="shared" si="0"/>
        <v>1</v>
      </c>
      <c r="I4" s="2">
        <f t="shared" si="1"/>
        <v>1</v>
      </c>
      <c r="J4" s="2" cm="1">
        <f t="array" ref="J4">MATCH(TRUE,M4:AA4&lt;&gt;"",0)-1</f>
        <v>3</v>
      </c>
      <c r="K4" s="11">
        <f t="shared" si="2"/>
        <v>8.3333333333333321</v>
      </c>
      <c r="L4" s="11" t="str">
        <f t="shared" si="3"/>
        <v>★★</v>
      </c>
      <c r="P4" s="1" t="s">
        <v>52</v>
      </c>
    </row>
    <row r="5" spans="1:27">
      <c r="F5" s="1" t="s">
        <v>590</v>
      </c>
      <c r="G5" s="4" t="s">
        <v>6</v>
      </c>
      <c r="H5" s="2">
        <f t="shared" ref="H5" si="4">COUNTA(M5:AP5)</f>
        <v>1</v>
      </c>
      <c r="I5" s="2">
        <f t="shared" ref="I5" si="5">COUNTA(N5:AQ5)</f>
        <v>1</v>
      </c>
      <c r="J5" s="2" cm="1">
        <f t="array" ref="J5">MATCH(TRUE,M5:AA5&lt;&gt;"",0)-1</f>
        <v>13</v>
      </c>
      <c r="K5" s="11">
        <f t="shared" si="2"/>
        <v>0</v>
      </c>
      <c r="L5" s="11" t="str">
        <f t="shared" si="3"/>
        <v>★</v>
      </c>
      <c r="Z5" s="1" t="s">
        <v>551</v>
      </c>
    </row>
    <row r="6" spans="1:27">
      <c r="F6" s="1" t="s">
        <v>456</v>
      </c>
      <c r="G6" s="4" t="s">
        <v>6</v>
      </c>
      <c r="H6" s="2">
        <f t="shared" ref="H6" si="6">COUNTA(M6:AP6)</f>
        <v>2</v>
      </c>
      <c r="I6" s="2">
        <f t="shared" ref="I6" si="7">COUNTA(N6:AQ6)</f>
        <v>2</v>
      </c>
      <c r="J6" s="2" cm="1">
        <f t="array" ref="J6">MATCH(TRUE,M6:AA6&lt;&gt;"",0)-1</f>
        <v>9</v>
      </c>
      <c r="K6" s="11">
        <f>COUNTA(N6:Y6)/COUNTA($N$1:$Y$1)*100</f>
        <v>16.666666666666664</v>
      </c>
      <c r="L6" s="11" t="str">
        <f t="shared" si="3"/>
        <v>★★★</v>
      </c>
      <c r="V6" s="1" t="s">
        <v>457</v>
      </c>
      <c r="Y6" s="1" t="s">
        <v>551</v>
      </c>
    </row>
    <row r="7" spans="1:27">
      <c r="C7" s="1" t="s">
        <v>317</v>
      </c>
      <c r="E7" s="2">
        <f>SUM(H7:H13)</f>
        <v>11</v>
      </c>
      <c r="F7" s="1" t="s">
        <v>177</v>
      </c>
      <c r="G7" s="4" t="s">
        <v>6</v>
      </c>
      <c r="H7" s="2">
        <f t="shared" si="0"/>
        <v>1</v>
      </c>
      <c r="I7" s="2">
        <f t="shared" si="1"/>
        <v>1</v>
      </c>
      <c r="J7" s="2" cm="1">
        <f t="array" ref="J7">MATCH(TRUE,M7:AA7&lt;&gt;"",0)-1</f>
        <v>2</v>
      </c>
      <c r="K7" s="11">
        <f t="shared" si="2"/>
        <v>8.3333333333333321</v>
      </c>
      <c r="L7" s="11" t="str">
        <f t="shared" si="3"/>
        <v>★★</v>
      </c>
      <c r="O7" s="1" t="s">
        <v>52</v>
      </c>
    </row>
    <row r="8" spans="1:27">
      <c r="F8" s="1" t="s">
        <v>509</v>
      </c>
      <c r="G8" s="4" t="s">
        <v>6</v>
      </c>
      <c r="H8" s="2">
        <f t="shared" si="0"/>
        <v>2</v>
      </c>
      <c r="I8" s="2">
        <f t="shared" si="1"/>
        <v>2</v>
      </c>
      <c r="J8" s="2" cm="1">
        <f t="array" ref="J8">MATCH(TRUE,M8:AA8&lt;&gt;"",0)-1</f>
        <v>1</v>
      </c>
      <c r="K8" s="11">
        <f t="shared" si="2"/>
        <v>16.666666666666664</v>
      </c>
      <c r="L8" s="11" t="str">
        <f t="shared" si="3"/>
        <v>★★★</v>
      </c>
      <c r="N8" s="1" t="s">
        <v>15</v>
      </c>
      <c r="W8" s="1" t="s">
        <v>510</v>
      </c>
    </row>
    <row r="9" spans="1:27">
      <c r="F9" s="1" t="s">
        <v>552</v>
      </c>
      <c r="G9" s="4" t="s">
        <v>6</v>
      </c>
      <c r="H9" s="2">
        <f t="shared" ref="H9" si="8">COUNTA(M9:AP9)</f>
        <v>1</v>
      </c>
      <c r="I9" s="2">
        <f t="shared" ref="I9" si="9">COUNTA(N9:AQ9)</f>
        <v>1</v>
      </c>
      <c r="J9" s="2" cm="1">
        <f t="array" ref="J9">MATCH(TRUE,M9:AA9&lt;&gt;"",0)-1</f>
        <v>12</v>
      </c>
      <c r="K9" s="11">
        <f t="shared" si="2"/>
        <v>8.3333333333333321</v>
      </c>
      <c r="L9" s="11" t="str">
        <f t="shared" si="3"/>
        <v>★★</v>
      </c>
      <c r="Y9" s="1" t="s">
        <v>553</v>
      </c>
    </row>
    <row r="10" spans="1:27">
      <c r="F10" s="1" t="s">
        <v>511</v>
      </c>
      <c r="G10" s="4" t="s">
        <v>6</v>
      </c>
      <c r="H10" s="2">
        <f t="shared" si="0"/>
        <v>3</v>
      </c>
      <c r="I10" s="2">
        <f t="shared" si="1"/>
        <v>3</v>
      </c>
      <c r="J10" s="2" cm="1">
        <f t="array" ref="J10">MATCH(TRUE,M10:AA10&lt;&gt;"",0)-1</f>
        <v>3</v>
      </c>
      <c r="K10" s="11">
        <f t="shared" si="2"/>
        <v>25</v>
      </c>
      <c r="L10" s="11" t="str">
        <f t="shared" si="3"/>
        <v>★★★★</v>
      </c>
      <c r="P10" s="1" t="s">
        <v>51</v>
      </c>
      <c r="Q10" s="1" t="s">
        <v>52</v>
      </c>
      <c r="V10" s="1" t="s">
        <v>51</v>
      </c>
    </row>
    <row r="11" spans="1:27">
      <c r="F11" s="1" t="s">
        <v>540</v>
      </c>
      <c r="G11" s="4" t="s">
        <v>6</v>
      </c>
      <c r="H11" s="2">
        <f t="shared" ref="H11" si="10">COUNTA(M11:AP11)</f>
        <v>1</v>
      </c>
      <c r="I11" s="2">
        <f t="shared" ref="I11" si="11">COUNTA(N11:AQ11)</f>
        <v>1</v>
      </c>
      <c r="J11" s="2" cm="1">
        <f t="array" ref="J11">MATCH(TRUE,M11:AA11&lt;&gt;"",0)-1</f>
        <v>11</v>
      </c>
      <c r="K11" s="11">
        <f t="shared" si="2"/>
        <v>8.3333333333333321</v>
      </c>
      <c r="L11" s="11" t="str">
        <f t="shared" si="3"/>
        <v>★★</v>
      </c>
      <c r="X11" s="1" t="s">
        <v>510</v>
      </c>
    </row>
    <row r="12" spans="1:27">
      <c r="F12" s="1" t="s">
        <v>267</v>
      </c>
      <c r="G12" s="4" t="s">
        <v>6</v>
      </c>
      <c r="H12" s="2">
        <f t="shared" si="0"/>
        <v>2</v>
      </c>
      <c r="I12" s="2">
        <f t="shared" si="1"/>
        <v>2</v>
      </c>
      <c r="J12" s="2" cm="1">
        <f t="array" ref="J12">MATCH(TRUE,M12:AA12&lt;&gt;"",0)-1</f>
        <v>5</v>
      </c>
      <c r="K12" s="11">
        <f t="shared" si="2"/>
        <v>16.666666666666664</v>
      </c>
      <c r="L12" s="11" t="str">
        <f t="shared" si="3"/>
        <v>★★★</v>
      </c>
      <c r="R12" s="1" t="s">
        <v>268</v>
      </c>
      <c r="U12" s="1" t="s">
        <v>402</v>
      </c>
    </row>
    <row r="13" spans="1:27">
      <c r="F13" s="1" t="s">
        <v>361</v>
      </c>
      <c r="G13" s="4" t="s">
        <v>6</v>
      </c>
      <c r="H13" s="2">
        <f t="shared" ref="H13" si="12">COUNTA(M13:AP13)</f>
        <v>1</v>
      </c>
      <c r="I13" s="2">
        <f t="shared" ref="I13" si="13">COUNTA(N13:AQ13)</f>
        <v>1</v>
      </c>
      <c r="J13" s="2" cm="1">
        <f t="array" ref="J13">MATCH(TRUE,M13:AA13&lt;&gt;"",0)-1</f>
        <v>7</v>
      </c>
      <c r="K13" s="11">
        <f t="shared" si="2"/>
        <v>8.3333333333333321</v>
      </c>
      <c r="L13" s="11" t="str">
        <f t="shared" si="3"/>
        <v>★★</v>
      </c>
      <c r="T13" s="1" t="s">
        <v>362</v>
      </c>
    </row>
    <row r="14" spans="1:27">
      <c r="C14" s="1" t="s">
        <v>90</v>
      </c>
      <c r="E14" s="2">
        <f>SUM(H14:H18)</f>
        <v>11</v>
      </c>
      <c r="F14" s="1" t="s">
        <v>100</v>
      </c>
      <c r="G14" s="4" t="s">
        <v>6</v>
      </c>
      <c r="H14" s="2">
        <f t="shared" si="0"/>
        <v>1</v>
      </c>
      <c r="I14" s="2">
        <f t="shared" si="1"/>
        <v>1</v>
      </c>
      <c r="J14" s="2" cm="1">
        <f t="array" ref="J14">MATCH(TRUE,M14:AA14&lt;&gt;"",0)-1</f>
        <v>1</v>
      </c>
      <c r="K14" s="11">
        <f t="shared" si="2"/>
        <v>8.3333333333333321</v>
      </c>
      <c r="L14" s="11" t="str">
        <f t="shared" si="3"/>
        <v>★★</v>
      </c>
      <c r="N14" s="1" t="s">
        <v>17</v>
      </c>
    </row>
    <row r="15" spans="1:27">
      <c r="F15" s="1" t="s">
        <v>120</v>
      </c>
      <c r="G15" s="4" t="s">
        <v>6</v>
      </c>
      <c r="H15" s="2">
        <f t="shared" si="0"/>
        <v>4</v>
      </c>
      <c r="I15" s="2">
        <f t="shared" si="1"/>
        <v>3</v>
      </c>
      <c r="J15" s="2" cm="1">
        <f t="array" ref="J15">MATCH(TRUE,M15:AA15&lt;&gt;"",0)-1</f>
        <v>0</v>
      </c>
      <c r="K15" s="11">
        <f t="shared" si="2"/>
        <v>25</v>
      </c>
      <c r="L15" s="11" t="str">
        <f t="shared" si="3"/>
        <v>★★★★</v>
      </c>
      <c r="M15" s="1" t="s">
        <v>117</v>
      </c>
      <c r="R15" s="1" t="s">
        <v>271</v>
      </c>
      <c r="W15" s="1" t="s">
        <v>496</v>
      </c>
      <c r="Y15" s="1" t="s">
        <v>555</v>
      </c>
    </row>
    <row r="16" spans="1:27">
      <c r="F16" s="1" t="s">
        <v>215</v>
      </c>
      <c r="G16" s="4" t="s">
        <v>6</v>
      </c>
      <c r="H16" s="2">
        <f t="shared" si="0"/>
        <v>1</v>
      </c>
      <c r="I16" s="2">
        <f t="shared" si="1"/>
        <v>1</v>
      </c>
      <c r="J16" s="2" cm="1">
        <f t="array" ref="J16">MATCH(TRUE,M16:AA16&lt;&gt;"",0)-1</f>
        <v>4</v>
      </c>
      <c r="K16" s="11">
        <f t="shared" si="2"/>
        <v>8.3333333333333321</v>
      </c>
      <c r="L16" s="11" t="str">
        <f t="shared" si="3"/>
        <v>★★</v>
      </c>
      <c r="Q16" s="1" t="s">
        <v>216</v>
      </c>
    </row>
    <row r="17" spans="2:26">
      <c r="F17" s="1" t="s">
        <v>313</v>
      </c>
      <c r="G17" s="3" t="s">
        <v>5</v>
      </c>
      <c r="H17" s="2">
        <f>COUNTA(M17:AP17)</f>
        <v>1</v>
      </c>
      <c r="I17" s="2">
        <f>COUNTA(N17:AQ17)</f>
        <v>1</v>
      </c>
      <c r="J17" s="2" cm="1">
        <f t="array" ref="J17">MATCH(TRUE,M17:AA17&lt;&gt;"",0)-1</f>
        <v>5</v>
      </c>
      <c r="K17" s="11">
        <f t="shared" si="2"/>
        <v>8.3333333333333321</v>
      </c>
      <c r="L17" s="11" t="str">
        <f t="shared" si="3"/>
        <v>★★</v>
      </c>
      <c r="R17" s="1" t="s">
        <v>259</v>
      </c>
    </row>
    <row r="18" spans="2:26">
      <c r="F18" s="1" t="s">
        <v>460</v>
      </c>
      <c r="G18" s="4" t="s">
        <v>6</v>
      </c>
      <c r="H18" s="2">
        <f t="shared" ref="H18:H20" si="14">COUNTA(M18:AP18)</f>
        <v>4</v>
      </c>
      <c r="I18" s="2">
        <f t="shared" ref="I18:I20" si="15">COUNTA(N18:AQ18)</f>
        <v>4</v>
      </c>
      <c r="J18" s="2" cm="1">
        <f t="array" ref="J18">MATCH(TRUE,M18:AA18&lt;&gt;"",0)-1</f>
        <v>6</v>
      </c>
      <c r="K18" s="11">
        <f t="shared" si="2"/>
        <v>25</v>
      </c>
      <c r="L18" s="11" t="str">
        <f t="shared" si="3"/>
        <v>★★★★</v>
      </c>
      <c r="S18" s="1" t="s">
        <v>324</v>
      </c>
      <c r="V18" s="1" t="s">
        <v>459</v>
      </c>
      <c r="X18" s="1" t="s">
        <v>496</v>
      </c>
      <c r="Z18" s="1" t="s">
        <v>554</v>
      </c>
    </row>
    <row r="19" spans="2:26">
      <c r="C19" s="1" t="s">
        <v>487</v>
      </c>
      <c r="E19" s="2">
        <f>SUM(H19:H24)</f>
        <v>12</v>
      </c>
      <c r="F19" s="1" t="s">
        <v>85</v>
      </c>
      <c r="G19" s="3" t="s">
        <v>5</v>
      </c>
      <c r="H19" s="2">
        <f t="shared" si="14"/>
        <v>2</v>
      </c>
      <c r="I19" s="2">
        <f t="shared" si="15"/>
        <v>2</v>
      </c>
      <c r="J19" s="2" cm="1">
        <f t="array" ref="J19">MATCH(TRUE,M19:AA19&lt;&gt;"",0)-1</f>
        <v>3</v>
      </c>
      <c r="K19" s="11">
        <f t="shared" si="2"/>
        <v>16.666666666666664</v>
      </c>
      <c r="L19" s="11" t="str">
        <f t="shared" si="3"/>
        <v>★★★</v>
      </c>
      <c r="P19" s="1" t="s">
        <v>45</v>
      </c>
      <c r="U19" s="1" t="s">
        <v>431</v>
      </c>
    </row>
    <row r="20" spans="2:26">
      <c r="F20" s="1" t="s">
        <v>594</v>
      </c>
      <c r="G20" s="3" t="s">
        <v>5</v>
      </c>
      <c r="H20" s="2">
        <f t="shared" si="14"/>
        <v>1</v>
      </c>
      <c r="I20" s="2">
        <f t="shared" si="15"/>
        <v>1</v>
      </c>
      <c r="J20" s="2" cm="1">
        <f t="array" ref="J20">MATCH(TRUE,M20:AA20&lt;&gt;"",0)-1</f>
        <v>13</v>
      </c>
      <c r="K20" s="11">
        <f t="shared" si="2"/>
        <v>0</v>
      </c>
      <c r="L20" s="11" t="str">
        <f t="shared" si="3"/>
        <v>★</v>
      </c>
      <c r="Z20" s="1" t="s">
        <v>553</v>
      </c>
    </row>
    <row r="21" spans="2:26">
      <c r="F21" s="1" t="s">
        <v>486</v>
      </c>
      <c r="G21" s="3" t="s">
        <v>5</v>
      </c>
      <c r="H21" s="2">
        <f t="shared" ref="H21" si="16">COUNTA(M21:AP21)</f>
        <v>1</v>
      </c>
      <c r="I21" s="2">
        <f t="shared" ref="I21" si="17">COUNTA(N21:AQ21)</f>
        <v>1</v>
      </c>
      <c r="J21" s="2" cm="1">
        <f t="array" ref="J21">MATCH(TRUE,M21:AA21&lt;&gt;"",0)-1</f>
        <v>9</v>
      </c>
      <c r="K21" s="11">
        <f t="shared" si="2"/>
        <v>8.3333333333333321</v>
      </c>
      <c r="L21" s="11" t="str">
        <f t="shared" si="3"/>
        <v>★★</v>
      </c>
      <c r="V21" s="1" t="s">
        <v>485</v>
      </c>
    </row>
    <row r="22" spans="2:26">
      <c r="F22" s="1" t="s">
        <v>532</v>
      </c>
      <c r="G22" s="3" t="s">
        <v>5</v>
      </c>
      <c r="H22" s="2">
        <f t="shared" ref="H22" si="18">COUNTA(M22:AP22)</f>
        <v>1</v>
      </c>
      <c r="I22" s="2">
        <f t="shared" ref="I22" si="19">COUNTA(N22:AQ22)</f>
        <v>1</v>
      </c>
      <c r="J22" s="2" cm="1">
        <f t="array" ref="J22">MATCH(TRUE,M22:AA22&lt;&gt;"",0)-1</f>
        <v>10</v>
      </c>
      <c r="K22" s="11">
        <f t="shared" si="2"/>
        <v>8.3333333333333321</v>
      </c>
      <c r="L22" s="11" t="str">
        <f t="shared" si="3"/>
        <v>★★</v>
      </c>
      <c r="W22" s="1" t="s">
        <v>533</v>
      </c>
    </row>
    <row r="23" spans="2:26">
      <c r="F23" s="1" t="s">
        <v>46</v>
      </c>
      <c r="G23" s="3" t="s">
        <v>5</v>
      </c>
      <c r="H23" s="2">
        <f t="shared" ref="H23:I29" si="20">COUNTA(M23:AP23)</f>
        <v>5</v>
      </c>
      <c r="I23" s="2">
        <f t="shared" si="20"/>
        <v>4</v>
      </c>
      <c r="J23" s="2" cm="1">
        <f t="array" ref="J23">MATCH(TRUE,M23:AA23&lt;&gt;"",0)-1</f>
        <v>0</v>
      </c>
      <c r="K23" s="11">
        <f t="shared" si="2"/>
        <v>33.333333333333329</v>
      </c>
      <c r="L23" s="11" t="str">
        <f t="shared" si="3"/>
        <v>★★★★★</v>
      </c>
      <c r="M23" s="1" t="s">
        <v>45</v>
      </c>
      <c r="N23" s="1" t="s">
        <v>45</v>
      </c>
      <c r="T23" s="1" t="s">
        <v>395</v>
      </c>
      <c r="U23" s="1" t="s">
        <v>403</v>
      </c>
      <c r="X23" s="1" t="s">
        <v>533</v>
      </c>
    </row>
    <row r="24" spans="2:26">
      <c r="F24" s="1" t="s">
        <v>541</v>
      </c>
      <c r="G24" s="5" t="s">
        <v>84</v>
      </c>
      <c r="H24" s="2">
        <f t="shared" si="20"/>
        <v>2</v>
      </c>
      <c r="I24" s="2">
        <f t="shared" si="20"/>
        <v>2</v>
      </c>
      <c r="J24" s="2" cm="1">
        <f t="array" ref="J24">MATCH(TRUE,M24:AA24&lt;&gt;"",0)-1</f>
        <v>6</v>
      </c>
      <c r="K24" s="11">
        <f t="shared" si="2"/>
        <v>16.666666666666664</v>
      </c>
      <c r="L24" s="11" t="str">
        <f t="shared" si="3"/>
        <v>★★★</v>
      </c>
      <c r="S24" s="1" t="s">
        <v>322</v>
      </c>
      <c r="X24" s="1" t="s">
        <v>495</v>
      </c>
    </row>
    <row r="25" spans="2:26">
      <c r="C25" s="1" t="s">
        <v>91</v>
      </c>
      <c r="E25" s="2">
        <f>SUM(H25:H27)</f>
        <v>5</v>
      </c>
      <c r="F25" s="1" t="s">
        <v>55</v>
      </c>
      <c r="G25" s="4" t="s">
        <v>6</v>
      </c>
      <c r="H25" s="2">
        <f t="shared" si="20"/>
        <v>2</v>
      </c>
      <c r="I25" s="2">
        <f t="shared" si="20"/>
        <v>2</v>
      </c>
      <c r="J25" s="2" cm="1">
        <f t="array" ref="J25">MATCH(TRUE,M25:AA25&lt;&gt;"",0)-1</f>
        <v>2</v>
      </c>
      <c r="K25" s="11">
        <f t="shared" si="2"/>
        <v>16.666666666666664</v>
      </c>
      <c r="L25" s="11" t="str">
        <f t="shared" si="3"/>
        <v>★★★</v>
      </c>
      <c r="O25" s="1" t="s">
        <v>56</v>
      </c>
      <c r="U25" s="1" t="s">
        <v>406</v>
      </c>
    </row>
    <row r="26" spans="2:26">
      <c r="F26" s="1" t="s">
        <v>220</v>
      </c>
      <c r="G26" s="4" t="s">
        <v>6</v>
      </c>
      <c r="H26" s="2">
        <f t="shared" si="20"/>
        <v>1</v>
      </c>
      <c r="I26" s="2">
        <f t="shared" si="20"/>
        <v>1</v>
      </c>
      <c r="J26" s="2" cm="1">
        <f t="array" ref="J26">MATCH(TRUE,M26:AA26&lt;&gt;"",0)-1</f>
        <v>4</v>
      </c>
      <c r="K26" s="11">
        <f t="shared" si="2"/>
        <v>8.3333333333333321</v>
      </c>
      <c r="L26" s="11" t="str">
        <f t="shared" si="3"/>
        <v>★★</v>
      </c>
      <c r="Q26" s="1" t="s">
        <v>219</v>
      </c>
    </row>
    <row r="27" spans="2:26">
      <c r="F27" s="1" t="s">
        <v>359</v>
      </c>
      <c r="G27" s="3" t="s">
        <v>5</v>
      </c>
      <c r="H27" s="2">
        <f t="shared" si="20"/>
        <v>2</v>
      </c>
      <c r="I27" s="2">
        <f t="shared" si="20"/>
        <v>2</v>
      </c>
      <c r="J27" s="2" cm="1">
        <f t="array" ref="J27">MATCH(TRUE,M27:AA27&lt;&gt;"",0)-1</f>
        <v>6</v>
      </c>
      <c r="K27" s="11">
        <f t="shared" si="2"/>
        <v>16.666666666666664</v>
      </c>
      <c r="L27" s="11" t="str">
        <f t="shared" si="3"/>
        <v>★★★</v>
      </c>
      <c r="S27" s="1" t="s">
        <v>360</v>
      </c>
      <c r="Y27" s="1" t="s">
        <v>585</v>
      </c>
    </row>
    <row r="28" spans="2:26">
      <c r="B28" s="1" t="s">
        <v>95</v>
      </c>
      <c r="C28" s="1" t="s">
        <v>461</v>
      </c>
      <c r="E28" s="2">
        <f>SUM(H28:H32)</f>
        <v>9</v>
      </c>
      <c r="F28" s="1" t="s">
        <v>96</v>
      </c>
      <c r="G28" s="3" t="s">
        <v>5</v>
      </c>
      <c r="H28" s="2">
        <f t="shared" si="20"/>
        <v>1</v>
      </c>
      <c r="I28" s="2">
        <f t="shared" si="20"/>
        <v>1</v>
      </c>
      <c r="J28" s="2" cm="1">
        <f t="array" ref="J28">MATCH(TRUE,M28:AA28&lt;&gt;"",0)-1</f>
        <v>1</v>
      </c>
      <c r="K28" s="11">
        <f t="shared" si="2"/>
        <v>8.3333333333333321</v>
      </c>
      <c r="L28" s="11" t="str">
        <f t="shared" si="3"/>
        <v>★★</v>
      </c>
      <c r="N28" s="1" t="s">
        <v>16</v>
      </c>
    </row>
    <row r="29" spans="2:26">
      <c r="F29" s="1" t="s">
        <v>80</v>
      </c>
      <c r="G29" s="3" t="s">
        <v>5</v>
      </c>
      <c r="H29" s="2">
        <f t="shared" si="20"/>
        <v>3</v>
      </c>
      <c r="I29" s="2">
        <f t="shared" si="20"/>
        <v>3</v>
      </c>
      <c r="J29" s="2" cm="1">
        <f t="array" ref="J29">MATCH(TRUE,M29:AA29&lt;&gt;"",0)-1</f>
        <v>3</v>
      </c>
      <c r="K29" s="11">
        <f t="shared" si="2"/>
        <v>25</v>
      </c>
      <c r="L29" s="11" t="str">
        <f t="shared" si="3"/>
        <v>★★★★</v>
      </c>
      <c r="P29" s="1" t="s">
        <v>57</v>
      </c>
      <c r="X29" s="1" t="s">
        <v>497</v>
      </c>
      <c r="Y29" s="1" t="s">
        <v>556</v>
      </c>
    </row>
    <row r="30" spans="2:26">
      <c r="F30" s="1" t="s">
        <v>218</v>
      </c>
      <c r="G30" s="4" t="s">
        <v>6</v>
      </c>
      <c r="H30" s="2">
        <f t="shared" ref="H30:H46" si="21">COUNTA(M30:AP30)</f>
        <v>1</v>
      </c>
      <c r="I30" s="2">
        <f t="shared" ref="I30:I46" si="22">COUNTA(N30:AQ30)</f>
        <v>1</v>
      </c>
      <c r="J30" s="2" cm="1">
        <f t="array" ref="J30">MATCH(TRUE,M30:AA30&lt;&gt;"",0)-1</f>
        <v>4</v>
      </c>
      <c r="K30" s="11">
        <f t="shared" si="2"/>
        <v>8.3333333333333321</v>
      </c>
      <c r="L30" s="11" t="str">
        <f t="shared" si="3"/>
        <v>★★</v>
      </c>
      <c r="Q30" s="1" t="s">
        <v>217</v>
      </c>
    </row>
    <row r="31" spans="2:26">
      <c r="F31" s="1" t="s">
        <v>183</v>
      </c>
      <c r="G31" s="4" t="s">
        <v>6</v>
      </c>
      <c r="H31" s="2">
        <f t="shared" ref="H31:I33" si="23">COUNTA(M31:AP31)</f>
        <v>2</v>
      </c>
      <c r="I31" s="2">
        <f t="shared" si="23"/>
        <v>2</v>
      </c>
      <c r="J31" s="2" cm="1">
        <f t="array" ref="J31">MATCH(TRUE,M31:AA31&lt;&gt;"",0)-1</f>
        <v>2</v>
      </c>
      <c r="K31" s="11">
        <f t="shared" si="2"/>
        <v>16.666666666666664</v>
      </c>
      <c r="L31" s="11" t="str">
        <f t="shared" si="3"/>
        <v>★★★</v>
      </c>
      <c r="O31" s="1" t="s">
        <v>60</v>
      </c>
      <c r="S31" s="1" t="s">
        <v>330</v>
      </c>
    </row>
    <row r="32" spans="2:26">
      <c r="F32" s="1" t="s">
        <v>373</v>
      </c>
      <c r="G32" s="3" t="s">
        <v>5</v>
      </c>
      <c r="H32" s="2">
        <f t="shared" si="23"/>
        <v>2</v>
      </c>
      <c r="I32" s="2">
        <f t="shared" si="23"/>
        <v>2</v>
      </c>
      <c r="J32" s="2" cm="1">
        <f t="array" ref="J32">MATCH(TRUE,M32:AA32&lt;&gt;"",0)-1</f>
        <v>7</v>
      </c>
      <c r="K32" s="11">
        <f t="shared" si="2"/>
        <v>16.666666666666664</v>
      </c>
      <c r="L32" s="11" t="str">
        <f t="shared" si="3"/>
        <v>★★★</v>
      </c>
      <c r="T32" s="1" t="s">
        <v>374</v>
      </c>
      <c r="Y32" s="1" t="s">
        <v>562</v>
      </c>
    </row>
    <row r="33" spans="2:26">
      <c r="F33" s="1" t="s">
        <v>463</v>
      </c>
      <c r="G33" s="4" t="s">
        <v>6</v>
      </c>
      <c r="H33" s="2">
        <f t="shared" si="23"/>
        <v>1</v>
      </c>
      <c r="I33" s="2">
        <f t="shared" si="23"/>
        <v>1</v>
      </c>
      <c r="J33" s="2" cm="1">
        <f t="array" ref="J33">MATCH(TRUE,M33:AA33&lt;&gt;"",0)-1</f>
        <v>9</v>
      </c>
      <c r="K33" s="11">
        <f t="shared" si="2"/>
        <v>8.3333333333333321</v>
      </c>
      <c r="L33" s="11" t="str">
        <f t="shared" si="3"/>
        <v>★★</v>
      </c>
      <c r="V33" s="1" t="s">
        <v>464</v>
      </c>
    </row>
    <row r="34" spans="2:26">
      <c r="F34" s="1" t="s">
        <v>512</v>
      </c>
      <c r="G34" s="3" t="s">
        <v>5</v>
      </c>
      <c r="H34" s="2">
        <f t="shared" ref="H34" si="24">COUNTA(M34:AP34)</f>
        <v>1</v>
      </c>
      <c r="I34" s="2">
        <f t="shared" ref="I34" si="25">COUNTA(N34:AQ34)</f>
        <v>1</v>
      </c>
      <c r="J34" s="2" cm="1">
        <f t="array" ref="J34">MATCH(TRUE,M34:AA34&lt;&gt;"",0)-1</f>
        <v>10</v>
      </c>
      <c r="K34" s="11">
        <f t="shared" si="2"/>
        <v>8.3333333333333321</v>
      </c>
      <c r="L34" s="11" t="str">
        <f t="shared" si="3"/>
        <v>★★</v>
      </c>
      <c r="W34" s="1" t="s">
        <v>57</v>
      </c>
    </row>
    <row r="35" spans="2:26">
      <c r="F35" s="1" t="s">
        <v>591</v>
      </c>
      <c r="G35" s="3" t="s">
        <v>5</v>
      </c>
      <c r="H35" s="2">
        <f t="shared" ref="H35" si="26">COUNTA(M35:AP35)</f>
        <v>1</v>
      </c>
      <c r="I35" s="2">
        <f t="shared" ref="I35" si="27">COUNTA(N35:AQ35)</f>
        <v>1</v>
      </c>
      <c r="J35" s="2" cm="1">
        <f t="array" ref="J35">MATCH(TRUE,M35:AA35&lt;&gt;"",0)-1</f>
        <v>13</v>
      </c>
      <c r="K35" s="11">
        <f t="shared" si="2"/>
        <v>0</v>
      </c>
      <c r="L35" s="11" t="str">
        <f t="shared" si="3"/>
        <v>★</v>
      </c>
      <c r="Z35" s="1" t="s">
        <v>560</v>
      </c>
    </row>
    <row r="36" spans="2:26">
      <c r="C36" s="1" t="s">
        <v>273</v>
      </c>
      <c r="E36" s="2">
        <f>SUM(H36:H38)</f>
        <v>5</v>
      </c>
      <c r="F36" s="1" t="s">
        <v>180</v>
      </c>
      <c r="G36" s="4" t="s">
        <v>6</v>
      </c>
      <c r="H36" s="2">
        <f t="shared" si="21"/>
        <v>2</v>
      </c>
      <c r="I36" s="2">
        <f t="shared" si="22"/>
        <v>2</v>
      </c>
      <c r="J36" s="2" cm="1">
        <f t="array" ref="J36">MATCH(TRUE,M36:AA36&lt;&gt;"",0)-1</f>
        <v>2</v>
      </c>
      <c r="K36" s="11">
        <f t="shared" si="2"/>
        <v>16.666666666666664</v>
      </c>
      <c r="L36" s="11" t="str">
        <f t="shared" si="3"/>
        <v>★★★</v>
      </c>
      <c r="O36" s="1" t="s">
        <v>57</v>
      </c>
      <c r="T36" s="1" t="s">
        <v>367</v>
      </c>
    </row>
    <row r="37" spans="2:26">
      <c r="F37" s="1" t="s">
        <v>195</v>
      </c>
      <c r="G37" s="4" t="s">
        <v>6</v>
      </c>
      <c r="H37" s="2">
        <f t="shared" si="21"/>
        <v>2</v>
      </c>
      <c r="I37" s="2">
        <f t="shared" si="22"/>
        <v>2</v>
      </c>
      <c r="J37" s="2" cm="1">
        <f t="array" ref="J37">MATCH(TRUE,M37:AA37&lt;&gt;"",0)-1</f>
        <v>3</v>
      </c>
      <c r="K37" s="11">
        <f t="shared" si="2"/>
        <v>16.666666666666664</v>
      </c>
      <c r="L37" s="11" t="str">
        <f t="shared" si="3"/>
        <v>★★★</v>
      </c>
      <c r="P37" s="1" t="s">
        <v>53</v>
      </c>
      <c r="T37" s="1" t="s">
        <v>365</v>
      </c>
    </row>
    <row r="38" spans="2:26">
      <c r="F38" s="1" t="s">
        <v>405</v>
      </c>
      <c r="G38" s="4" t="s">
        <v>6</v>
      </c>
      <c r="H38" s="2">
        <f t="shared" ref="H38" si="28">COUNTA(M38:AP38)</f>
        <v>1</v>
      </c>
      <c r="I38" s="2">
        <f t="shared" ref="I38" si="29">COUNTA(N38:AQ38)</f>
        <v>1</v>
      </c>
      <c r="J38" s="2" cm="1">
        <f t="array" ref="J38">MATCH(TRUE,M38:AA38&lt;&gt;"",0)-1</f>
        <v>8</v>
      </c>
      <c r="K38" s="11">
        <f t="shared" si="2"/>
        <v>8.3333333333333321</v>
      </c>
      <c r="L38" s="11" t="str">
        <f t="shared" si="3"/>
        <v>★★</v>
      </c>
      <c r="U38" s="1" t="s">
        <v>404</v>
      </c>
    </row>
    <row r="39" spans="2:26">
      <c r="C39" s="1" t="s">
        <v>118</v>
      </c>
      <c r="E39" s="2">
        <f>SUM(H39:H42)</f>
        <v>14</v>
      </c>
      <c r="F39" s="1" t="s">
        <v>119</v>
      </c>
      <c r="G39" s="3" t="s">
        <v>5</v>
      </c>
      <c r="H39" s="2">
        <f t="shared" si="21"/>
        <v>4</v>
      </c>
      <c r="I39" s="2">
        <f t="shared" si="22"/>
        <v>3</v>
      </c>
      <c r="J39" s="2" cm="1">
        <f t="array" ref="J39">MATCH(TRUE,M39:AA39&lt;&gt;"",0)-1</f>
        <v>0</v>
      </c>
      <c r="K39" s="11">
        <f t="shared" si="2"/>
        <v>25</v>
      </c>
      <c r="L39" s="11" t="str">
        <f t="shared" si="3"/>
        <v>★★★★</v>
      </c>
      <c r="M39" s="1" t="s">
        <v>121</v>
      </c>
      <c r="P39" s="1" t="s">
        <v>54</v>
      </c>
      <c r="U39" s="1" t="s">
        <v>407</v>
      </c>
      <c r="Y39" s="1" t="s">
        <v>554</v>
      </c>
    </row>
    <row r="40" spans="2:26">
      <c r="F40" s="1" t="s">
        <v>115</v>
      </c>
      <c r="G40" s="4" t="s">
        <v>6</v>
      </c>
      <c r="H40" s="2">
        <f t="shared" si="21"/>
        <v>4</v>
      </c>
      <c r="I40" s="2">
        <f t="shared" si="22"/>
        <v>3</v>
      </c>
      <c r="J40" s="2" cm="1">
        <f t="array" ref="J40">MATCH(TRUE,M40:AA40&lt;&gt;"",0)-1</f>
        <v>0</v>
      </c>
      <c r="K40" s="11">
        <f t="shared" si="2"/>
        <v>16.666666666666664</v>
      </c>
      <c r="L40" s="11" t="str">
        <f t="shared" si="3"/>
        <v>★★★</v>
      </c>
      <c r="M40" s="1" t="s">
        <v>116</v>
      </c>
      <c r="S40" s="10" t="s">
        <v>325</v>
      </c>
      <c r="T40" s="1" t="s">
        <v>366</v>
      </c>
      <c r="Z40" s="1" t="s">
        <v>556</v>
      </c>
    </row>
    <row r="41" spans="2:26">
      <c r="F41" s="1" t="s">
        <v>179</v>
      </c>
      <c r="G41" s="3" t="s">
        <v>5</v>
      </c>
      <c r="H41" s="2">
        <f t="shared" si="21"/>
        <v>4</v>
      </c>
      <c r="I41" s="2">
        <f t="shared" si="22"/>
        <v>4</v>
      </c>
      <c r="J41" s="2" cm="1">
        <f t="array" ref="J41">MATCH(TRUE,M41:AA41&lt;&gt;"",0)-1</f>
        <v>2</v>
      </c>
      <c r="K41" s="11">
        <f t="shared" si="2"/>
        <v>25</v>
      </c>
      <c r="L41" s="11" t="str">
        <f t="shared" si="3"/>
        <v>★★★★</v>
      </c>
      <c r="O41" s="1" t="s">
        <v>54</v>
      </c>
      <c r="S41" s="1" t="s">
        <v>323</v>
      </c>
      <c r="V41" s="1" t="s">
        <v>452</v>
      </c>
      <c r="Z41" s="1" t="s">
        <v>555</v>
      </c>
    </row>
    <row r="42" spans="2:26">
      <c r="F42" s="1" t="s">
        <v>371</v>
      </c>
      <c r="G42" s="3" t="s">
        <v>5</v>
      </c>
      <c r="H42" s="2">
        <f t="shared" ref="H42" si="30">COUNTA(M42:AP42)</f>
        <v>2</v>
      </c>
      <c r="I42" s="2">
        <f t="shared" ref="I42" si="31">COUNTA(N42:AQ42)</f>
        <v>2</v>
      </c>
      <c r="J42" s="2" cm="1">
        <f t="array" ref="J42">MATCH(TRUE,M42:AA42&lt;&gt;"",0)-1</f>
        <v>7</v>
      </c>
      <c r="K42" s="11">
        <f t="shared" si="2"/>
        <v>8.3333333333333321</v>
      </c>
      <c r="L42" s="11" t="str">
        <f t="shared" si="3"/>
        <v>★★</v>
      </c>
      <c r="T42" s="1" t="s">
        <v>372</v>
      </c>
      <c r="Z42" s="1" t="s">
        <v>558</v>
      </c>
    </row>
    <row r="43" spans="2:26">
      <c r="C43" s="1" t="s">
        <v>445</v>
      </c>
      <c r="E43" s="2">
        <f>SUM(H43:H44)</f>
        <v>4</v>
      </c>
      <c r="F43" s="1" t="s">
        <v>274</v>
      </c>
      <c r="G43" s="3" t="s">
        <v>5</v>
      </c>
      <c r="H43" s="2">
        <f>COUNTA(M43:AP43)</f>
        <v>2</v>
      </c>
      <c r="I43" s="2">
        <f>COUNTA(N43:AQ43)</f>
        <v>2</v>
      </c>
      <c r="J43" s="2" cm="1">
        <f t="array" ref="J43">MATCH(TRUE,M43:AA43&lt;&gt;"",0)-1</f>
        <v>5</v>
      </c>
      <c r="K43" s="11">
        <f t="shared" si="2"/>
        <v>16.666666666666664</v>
      </c>
      <c r="L43" s="11" t="str">
        <f t="shared" si="3"/>
        <v>★★★</v>
      </c>
      <c r="R43" s="1" t="s">
        <v>270</v>
      </c>
      <c r="W43" s="1" t="s">
        <v>497</v>
      </c>
    </row>
    <row r="44" spans="2:26">
      <c r="F44" s="1" t="s">
        <v>444</v>
      </c>
      <c r="G44" s="4" t="s">
        <v>6</v>
      </c>
      <c r="H44" s="2">
        <f t="shared" si="21"/>
        <v>2</v>
      </c>
      <c r="I44" s="2">
        <f t="shared" si="22"/>
        <v>2</v>
      </c>
      <c r="J44" s="2" cm="1">
        <f t="array" ref="J44">MATCH(TRUE,M44:AA44&lt;&gt;"",0)-1</f>
        <v>4</v>
      </c>
      <c r="K44" s="11">
        <f t="shared" si="2"/>
        <v>16.666666666666664</v>
      </c>
      <c r="L44" s="11" t="str">
        <f t="shared" si="3"/>
        <v>★★★</v>
      </c>
      <c r="Q44" s="1" t="s">
        <v>221</v>
      </c>
      <c r="X44" s="1" t="s">
        <v>498</v>
      </c>
    </row>
    <row r="45" spans="2:26">
      <c r="F45" s="1" t="s">
        <v>462</v>
      </c>
      <c r="G45" s="4" t="s">
        <v>6</v>
      </c>
      <c r="H45" s="2">
        <f>COUNTA(M45:AP45)</f>
        <v>2</v>
      </c>
      <c r="I45" s="2">
        <f>COUNTA(N45:AQ45)</f>
        <v>2</v>
      </c>
      <c r="J45" s="2" cm="1">
        <f t="array" ref="J45">MATCH(TRUE,M45:AA45&lt;&gt;"",0)-1</f>
        <v>5</v>
      </c>
      <c r="K45" s="11">
        <f t="shared" si="2"/>
        <v>16.666666666666664</v>
      </c>
      <c r="L45" s="11" t="str">
        <f t="shared" si="3"/>
        <v>★★★</v>
      </c>
      <c r="R45" s="1" t="s">
        <v>272</v>
      </c>
      <c r="V45" s="1" t="s">
        <v>458</v>
      </c>
    </row>
    <row r="46" spans="2:26">
      <c r="B46" s="1" t="s">
        <v>92</v>
      </c>
      <c r="C46" s="1" t="s">
        <v>122</v>
      </c>
      <c r="D46" s="1" t="s">
        <v>229</v>
      </c>
      <c r="E46" s="2">
        <f>SUM(H46:H55)</f>
        <v>22</v>
      </c>
      <c r="F46" s="1" t="s">
        <v>192</v>
      </c>
      <c r="G46" s="3" t="s">
        <v>5</v>
      </c>
      <c r="H46" s="2">
        <f t="shared" si="21"/>
        <v>5</v>
      </c>
      <c r="I46" s="2">
        <f t="shared" si="22"/>
        <v>5</v>
      </c>
      <c r="J46" s="2" cm="1">
        <f t="array" ref="J46">MATCH(TRUE,M46:AA46&lt;&gt;"",0)-1</f>
        <v>2</v>
      </c>
      <c r="K46" s="11">
        <f t="shared" si="2"/>
        <v>41.666666666666671</v>
      </c>
      <c r="L46" s="11" t="str">
        <f t="shared" si="3"/>
        <v>★★★★★</v>
      </c>
      <c r="O46" s="1" t="s">
        <v>47</v>
      </c>
      <c r="Q46" s="1" t="s">
        <v>231</v>
      </c>
      <c r="U46" s="1" t="s">
        <v>411</v>
      </c>
      <c r="V46" s="1" t="s">
        <v>465</v>
      </c>
      <c r="X46" s="1" t="s">
        <v>501</v>
      </c>
    </row>
    <row r="47" spans="2:26">
      <c r="F47" s="1" t="s">
        <v>561</v>
      </c>
      <c r="G47" s="4" t="s">
        <v>6</v>
      </c>
      <c r="H47" s="2">
        <f t="shared" ref="H47" si="32">COUNTA(M47:AP47)</f>
        <v>2</v>
      </c>
      <c r="I47" s="2">
        <f t="shared" ref="I47" si="33">COUNTA(N47:AQ47)</f>
        <v>2</v>
      </c>
      <c r="J47" s="2" cm="1">
        <f t="array" ref="J47">MATCH(TRUE,M47:AA47&lt;&gt;"",0)-1</f>
        <v>7</v>
      </c>
      <c r="K47" s="11">
        <f t="shared" si="2"/>
        <v>16.666666666666664</v>
      </c>
      <c r="L47" s="11" t="str">
        <f t="shared" si="3"/>
        <v>★★★</v>
      </c>
      <c r="T47" s="1" t="s">
        <v>375</v>
      </c>
      <c r="Y47" s="1" t="s">
        <v>560</v>
      </c>
    </row>
    <row r="48" spans="2:26">
      <c r="F48" s="1" t="s">
        <v>278</v>
      </c>
      <c r="G48" s="4" t="s">
        <v>6</v>
      </c>
      <c r="H48" s="2">
        <f t="shared" ref="H48:H78" si="34">COUNTA(M48:AP48)</f>
        <v>2</v>
      </c>
      <c r="I48" s="2">
        <f t="shared" ref="I48:I78" si="35">COUNTA(N48:AQ48)</f>
        <v>2</v>
      </c>
      <c r="J48" s="2" cm="1">
        <f t="array" ref="J48">MATCH(TRUE,M48:AA48&lt;&gt;"",0)-1</f>
        <v>5</v>
      </c>
      <c r="K48" s="11">
        <f t="shared" si="2"/>
        <v>16.666666666666664</v>
      </c>
      <c r="L48" s="11" t="str">
        <f t="shared" si="3"/>
        <v>★★★</v>
      </c>
      <c r="R48" s="1" t="s">
        <v>279</v>
      </c>
      <c r="W48" s="1" t="s">
        <v>501</v>
      </c>
    </row>
    <row r="49" spans="2:26">
      <c r="F49" s="1" t="s">
        <v>592</v>
      </c>
      <c r="G49" s="3" t="s">
        <v>5</v>
      </c>
      <c r="H49" s="2">
        <f t="shared" ref="H49" si="36">COUNTA(M49:AP49)</f>
        <v>1</v>
      </c>
      <c r="I49" s="2">
        <f t="shared" ref="I49" si="37">COUNTA(N49:AQ49)</f>
        <v>1</v>
      </c>
      <c r="J49" s="2" cm="1">
        <f t="array" ref="J49">MATCH(TRUE,M49:AA49&lt;&gt;"",0)-1</f>
        <v>13</v>
      </c>
      <c r="K49" s="11">
        <f t="shared" si="2"/>
        <v>0</v>
      </c>
      <c r="L49" s="11" t="str">
        <f t="shared" si="3"/>
        <v>★</v>
      </c>
      <c r="Z49" s="1" t="s">
        <v>562</v>
      </c>
    </row>
    <row r="50" spans="2:26">
      <c r="F50" s="1" t="s">
        <v>196</v>
      </c>
      <c r="G50" s="3" t="s">
        <v>5</v>
      </c>
      <c r="H50" s="2">
        <f t="shared" si="34"/>
        <v>2</v>
      </c>
      <c r="I50" s="2">
        <f t="shared" si="35"/>
        <v>2</v>
      </c>
      <c r="J50" s="2" cm="1">
        <f t="array" ref="J50">MATCH(TRUE,M50:AA50&lt;&gt;"",0)-1</f>
        <v>3</v>
      </c>
      <c r="K50" s="11">
        <f t="shared" si="2"/>
        <v>16.666666666666664</v>
      </c>
      <c r="L50" s="11" t="str">
        <f t="shared" si="3"/>
        <v>★★★</v>
      </c>
      <c r="P50" s="1" t="s">
        <v>82</v>
      </c>
      <c r="S50" s="1" t="s">
        <v>328</v>
      </c>
    </row>
    <row r="51" spans="2:26">
      <c r="F51" s="1" t="s">
        <v>168</v>
      </c>
      <c r="G51" s="3" t="s">
        <v>5</v>
      </c>
      <c r="H51" s="2">
        <f t="shared" si="34"/>
        <v>3</v>
      </c>
      <c r="I51" s="2">
        <f t="shared" si="35"/>
        <v>2</v>
      </c>
      <c r="J51" s="2" cm="1">
        <f t="array" ref="J51">MATCH(TRUE,M51:AA51&lt;&gt;"",0)-1</f>
        <v>0</v>
      </c>
      <c r="K51" s="11">
        <f t="shared" si="2"/>
        <v>16.666666666666664</v>
      </c>
      <c r="L51" s="11" t="str">
        <f t="shared" si="3"/>
        <v>★★★</v>
      </c>
      <c r="M51" s="1" t="s">
        <v>169</v>
      </c>
      <c r="Q51" s="1" t="s">
        <v>260</v>
      </c>
      <c r="V51" s="1" t="s">
        <v>488</v>
      </c>
    </row>
    <row r="52" spans="2:26">
      <c r="F52" s="1" t="s">
        <v>197</v>
      </c>
      <c r="G52" s="4" t="s">
        <v>6</v>
      </c>
      <c r="H52" s="2">
        <f t="shared" si="34"/>
        <v>2</v>
      </c>
      <c r="I52" s="2">
        <f t="shared" si="35"/>
        <v>2</v>
      </c>
      <c r="J52" s="2" cm="1">
        <f t="array" ref="J52">MATCH(TRUE,M52:AA52&lt;&gt;"",0)-1</f>
        <v>3</v>
      </c>
      <c r="K52" s="11">
        <f t="shared" si="2"/>
        <v>16.666666666666664</v>
      </c>
      <c r="L52" s="11" t="str">
        <f t="shared" si="3"/>
        <v>★★★</v>
      </c>
      <c r="P52" s="1" t="s">
        <v>59</v>
      </c>
      <c r="X52" s="1" t="s">
        <v>500</v>
      </c>
    </row>
    <row r="53" spans="2:26">
      <c r="D53" s="1" t="s">
        <v>230</v>
      </c>
      <c r="F53" s="1" t="s">
        <v>98</v>
      </c>
      <c r="G53" s="4" t="s">
        <v>6</v>
      </c>
      <c r="H53" s="2">
        <f t="shared" si="34"/>
        <v>1</v>
      </c>
      <c r="I53" s="2">
        <f t="shared" si="35"/>
        <v>1</v>
      </c>
      <c r="J53" s="2" cm="1">
        <f t="array" ref="J53">MATCH(TRUE,M53:AA53&lt;&gt;"",0)-1</f>
        <v>1</v>
      </c>
      <c r="K53" s="11">
        <f t="shared" si="2"/>
        <v>8.3333333333333321</v>
      </c>
      <c r="L53" s="11" t="str">
        <f t="shared" si="3"/>
        <v>★★</v>
      </c>
      <c r="N53" s="1" t="s">
        <v>21</v>
      </c>
    </row>
    <row r="54" spans="2:26">
      <c r="F54" s="1" t="s">
        <v>198</v>
      </c>
      <c r="G54" s="3" t="s">
        <v>5</v>
      </c>
      <c r="H54" s="2">
        <f t="shared" si="34"/>
        <v>2</v>
      </c>
      <c r="I54" s="2">
        <f t="shared" si="35"/>
        <v>2</v>
      </c>
      <c r="J54" s="2" cm="1">
        <f t="array" ref="J54">MATCH(TRUE,M54:AA54&lt;&gt;"",0)-1</f>
        <v>3</v>
      </c>
      <c r="K54" s="11">
        <f t="shared" si="2"/>
        <v>16.666666666666664</v>
      </c>
      <c r="L54" s="11" t="str">
        <f t="shared" si="3"/>
        <v>★★★</v>
      </c>
      <c r="P54" s="1" t="s">
        <v>60</v>
      </c>
      <c r="T54" s="1" t="s">
        <v>376</v>
      </c>
    </row>
    <row r="55" spans="2:26">
      <c r="F55" s="1" t="s">
        <v>132</v>
      </c>
      <c r="G55" s="4" t="s">
        <v>6</v>
      </c>
      <c r="H55" s="2">
        <f>COUNTA(M55:AP55)</f>
        <v>2</v>
      </c>
      <c r="I55" s="2">
        <f>COUNTA(N55:AQ55)</f>
        <v>1</v>
      </c>
      <c r="J55" s="2" cm="1">
        <f t="array" ref="J55">MATCH(TRUE,M55:AA55&lt;&gt;"",0)-1</f>
        <v>0</v>
      </c>
      <c r="K55" s="11">
        <f t="shared" si="2"/>
        <v>8.3333333333333321</v>
      </c>
      <c r="L55" s="11" t="str">
        <f t="shared" si="3"/>
        <v>★★</v>
      </c>
      <c r="M55" s="1" t="s">
        <v>133</v>
      </c>
      <c r="W55" s="1" t="s">
        <v>504</v>
      </c>
    </row>
    <row r="56" spans="2:26">
      <c r="F56" s="1" t="s">
        <v>506</v>
      </c>
      <c r="G56" s="3" t="s">
        <v>5</v>
      </c>
      <c r="H56" s="2">
        <f>COUNTA(M56:AP56)</f>
        <v>1</v>
      </c>
      <c r="I56" s="2">
        <f>COUNTA(N56:AQ56)</f>
        <v>1</v>
      </c>
      <c r="J56" s="2" cm="1">
        <f t="array" ref="J56">MATCH(TRUE,M56:AA56&lt;&gt;"",0)-1</f>
        <v>10</v>
      </c>
      <c r="K56" s="11">
        <f t="shared" si="2"/>
        <v>8.3333333333333321</v>
      </c>
      <c r="L56" s="11" t="str">
        <f t="shared" si="3"/>
        <v>★★</v>
      </c>
      <c r="W56" s="1" t="s">
        <v>507</v>
      </c>
    </row>
    <row r="57" spans="2:26">
      <c r="C57" s="1" t="s">
        <v>3</v>
      </c>
      <c r="E57" s="2">
        <f>SUM(H57:H60)</f>
        <v>7</v>
      </c>
      <c r="F57" s="1" t="s">
        <v>99</v>
      </c>
      <c r="G57" s="4" t="s">
        <v>6</v>
      </c>
      <c r="H57" s="2">
        <f t="shared" si="34"/>
        <v>3</v>
      </c>
      <c r="I57" s="2">
        <f t="shared" si="35"/>
        <v>3</v>
      </c>
      <c r="J57" s="2" cm="1">
        <f t="array" ref="J57">MATCH(TRUE,M57:AA57&lt;&gt;"",0)-1</f>
        <v>1</v>
      </c>
      <c r="K57" s="11">
        <f t="shared" si="2"/>
        <v>25</v>
      </c>
      <c r="L57" s="11" t="str">
        <f t="shared" si="3"/>
        <v>★★★★</v>
      </c>
      <c r="N57" s="1" t="s">
        <v>22</v>
      </c>
      <c r="U57" s="1" t="s">
        <v>409</v>
      </c>
      <c r="X57" s="1" t="s">
        <v>502</v>
      </c>
    </row>
    <row r="58" spans="2:26">
      <c r="F58" s="1" t="s">
        <v>128</v>
      </c>
      <c r="G58" s="3" t="s">
        <v>5</v>
      </c>
      <c r="H58" s="2">
        <f t="shared" si="34"/>
        <v>2</v>
      </c>
      <c r="I58" s="2">
        <f t="shared" si="35"/>
        <v>1</v>
      </c>
      <c r="J58" s="2" cm="1">
        <f t="array" ref="J58">MATCH(TRUE,M58:AA58&lt;&gt;"",0)-1</f>
        <v>0</v>
      </c>
      <c r="K58" s="11">
        <f t="shared" si="2"/>
        <v>8.3333333333333321</v>
      </c>
      <c r="L58" s="11" t="str">
        <f t="shared" si="3"/>
        <v>★★</v>
      </c>
      <c r="M58" s="1" t="s">
        <v>127</v>
      </c>
      <c r="S58" s="1" t="s">
        <v>329</v>
      </c>
    </row>
    <row r="59" spans="2:26">
      <c r="F59" s="1" t="s">
        <v>563</v>
      </c>
      <c r="G59" s="3" t="s">
        <v>5</v>
      </c>
      <c r="H59" s="2">
        <f t="shared" ref="H59" si="38">COUNTA(M59:AP59)</f>
        <v>1</v>
      </c>
      <c r="I59" s="2">
        <f t="shared" ref="I59" si="39">COUNTA(N59:AQ59)</f>
        <v>1</v>
      </c>
      <c r="J59" s="2" cm="1">
        <f t="array" ref="J59">MATCH(TRUE,M59:AA59&lt;&gt;"",0)-1</f>
        <v>12</v>
      </c>
      <c r="K59" s="11">
        <f t="shared" si="2"/>
        <v>8.3333333333333321</v>
      </c>
      <c r="L59" s="11" t="str">
        <f t="shared" si="3"/>
        <v>★★</v>
      </c>
      <c r="Y59" s="1" t="s">
        <v>564</v>
      </c>
    </row>
    <row r="60" spans="2:26">
      <c r="F60" s="1" t="s">
        <v>233</v>
      </c>
      <c r="G60" s="3" t="s">
        <v>5</v>
      </c>
      <c r="H60" s="2">
        <f t="shared" si="34"/>
        <v>1</v>
      </c>
      <c r="I60" s="2">
        <f t="shared" si="35"/>
        <v>1</v>
      </c>
      <c r="J60" s="2" cm="1">
        <f t="array" ref="J60">MATCH(TRUE,M60:AA60&lt;&gt;"",0)-1</f>
        <v>4</v>
      </c>
      <c r="K60" s="11">
        <f t="shared" si="2"/>
        <v>8.3333333333333321</v>
      </c>
      <c r="L60" s="11" t="str">
        <f t="shared" si="3"/>
        <v>★★</v>
      </c>
      <c r="Q60" s="1" t="s">
        <v>232</v>
      </c>
    </row>
    <row r="61" spans="2:26">
      <c r="B61" s="1" t="s">
        <v>77</v>
      </c>
      <c r="C61" s="1" t="s">
        <v>224</v>
      </c>
      <c r="E61" s="2">
        <f>SUM(H61:H67)</f>
        <v>11</v>
      </c>
      <c r="F61" s="1" t="s">
        <v>181</v>
      </c>
      <c r="G61" s="3" t="s">
        <v>5</v>
      </c>
      <c r="H61" s="2">
        <f t="shared" si="34"/>
        <v>1</v>
      </c>
      <c r="I61" s="2">
        <f t="shared" si="35"/>
        <v>1</v>
      </c>
      <c r="J61" s="2" cm="1">
        <f t="array" ref="J61">MATCH(TRUE,M61:AA61&lt;&gt;"",0)-1</f>
        <v>1</v>
      </c>
      <c r="K61" s="11">
        <f t="shared" si="2"/>
        <v>8.3333333333333321</v>
      </c>
      <c r="L61" s="11" t="str">
        <f t="shared" si="3"/>
        <v>★★</v>
      </c>
      <c r="N61" s="1" t="s">
        <v>19</v>
      </c>
    </row>
    <row r="62" spans="2:26">
      <c r="F62" s="1" t="s">
        <v>222</v>
      </c>
      <c r="G62" s="3" t="s">
        <v>5</v>
      </c>
      <c r="H62" s="2">
        <f t="shared" si="34"/>
        <v>2</v>
      </c>
      <c r="I62" s="2">
        <f t="shared" si="35"/>
        <v>2</v>
      </c>
      <c r="J62" s="2" cm="1">
        <f t="array" ref="J62">MATCH(TRUE,M62:AA62&lt;&gt;"",0)-1</f>
        <v>4</v>
      </c>
      <c r="K62" s="11">
        <f t="shared" si="2"/>
        <v>16.666666666666664</v>
      </c>
      <c r="L62" s="11" t="str">
        <f t="shared" si="3"/>
        <v>★★★</v>
      </c>
      <c r="Q62" s="1" t="s">
        <v>223</v>
      </c>
      <c r="W62" s="1" t="s">
        <v>499</v>
      </c>
    </row>
    <row r="63" spans="2:26">
      <c r="F63" s="1" t="s">
        <v>454</v>
      </c>
      <c r="G63" s="3" t="s">
        <v>5</v>
      </c>
      <c r="H63" s="2">
        <f t="shared" ref="H63" si="40">COUNTA(M63:AP63)</f>
        <v>2</v>
      </c>
      <c r="I63" s="2">
        <f t="shared" ref="I63" si="41">COUNTA(N63:AQ63)</f>
        <v>2</v>
      </c>
      <c r="J63" s="2" cm="1">
        <f t="array" ref="J63">MATCH(TRUE,M63:AA63&lt;&gt;"",0)-1</f>
        <v>8</v>
      </c>
      <c r="K63" s="11">
        <f t="shared" si="2"/>
        <v>16.666666666666664</v>
      </c>
      <c r="L63" s="11" t="str">
        <f t="shared" si="3"/>
        <v>★★★</v>
      </c>
      <c r="U63" s="1" t="s">
        <v>410</v>
      </c>
      <c r="Y63" s="1" t="s">
        <v>586</v>
      </c>
    </row>
    <row r="64" spans="2:26">
      <c r="F64" s="1" t="s">
        <v>455</v>
      </c>
      <c r="G64" s="3" t="s">
        <v>5</v>
      </c>
      <c r="H64" s="2">
        <f t="shared" ref="H64" si="42">COUNTA(M64:AP64)</f>
        <v>1</v>
      </c>
      <c r="I64" s="2">
        <f t="shared" ref="I64" si="43">COUNTA(N64:AQ64)</f>
        <v>1</v>
      </c>
      <c r="J64" s="2" cm="1">
        <f t="array" ref="J64">MATCH(TRUE,M64:AA64&lt;&gt;"",0)-1</f>
        <v>9</v>
      </c>
      <c r="K64" s="11">
        <f t="shared" si="2"/>
        <v>8.3333333333333321</v>
      </c>
      <c r="L64" s="11" t="str">
        <f t="shared" si="3"/>
        <v>★★</v>
      </c>
      <c r="V64" s="1" t="s">
        <v>453</v>
      </c>
    </row>
    <row r="65" spans="3:26">
      <c r="F65" s="1" t="s">
        <v>326</v>
      </c>
      <c r="G65" s="3" t="s">
        <v>5</v>
      </c>
      <c r="H65" s="2">
        <f t="shared" si="34"/>
        <v>1</v>
      </c>
      <c r="I65" s="2">
        <f t="shared" si="35"/>
        <v>1</v>
      </c>
      <c r="J65" s="2" cm="1">
        <f t="array" ref="J65">MATCH(TRUE,M65:AA65&lt;&gt;"",0)-1</f>
        <v>6</v>
      </c>
      <c r="K65" s="11">
        <f t="shared" si="2"/>
        <v>8.3333333333333321</v>
      </c>
      <c r="L65" s="11" t="str">
        <f t="shared" si="3"/>
        <v>★★</v>
      </c>
      <c r="S65" s="1" t="s">
        <v>327</v>
      </c>
    </row>
    <row r="66" spans="3:26">
      <c r="F66" s="1" t="s">
        <v>178</v>
      </c>
      <c r="G66" s="3" t="s">
        <v>5</v>
      </c>
      <c r="H66" s="2">
        <f t="shared" si="34"/>
        <v>1</v>
      </c>
      <c r="I66" s="2">
        <f t="shared" si="35"/>
        <v>1</v>
      </c>
      <c r="J66" s="2" cm="1">
        <f t="array" ref="J66">MATCH(TRUE,M66:AA66&lt;&gt;"",0)-1</f>
        <v>2</v>
      </c>
      <c r="K66" s="11">
        <f t="shared" si="2"/>
        <v>8.3333333333333321</v>
      </c>
      <c r="L66" s="11" t="str">
        <f t="shared" si="3"/>
        <v>★★</v>
      </c>
      <c r="O66" s="1" t="s">
        <v>51</v>
      </c>
    </row>
    <row r="67" spans="3:26">
      <c r="F67" s="1" t="s">
        <v>113</v>
      </c>
      <c r="G67" s="3" t="s">
        <v>5</v>
      </c>
      <c r="H67" s="2">
        <f t="shared" si="34"/>
        <v>3</v>
      </c>
      <c r="I67" s="2">
        <f t="shared" si="35"/>
        <v>2</v>
      </c>
      <c r="J67" s="2" cm="1">
        <f t="array" ref="J67">MATCH(TRUE,M67:AA67&lt;&gt;"",0)-1</f>
        <v>0</v>
      </c>
      <c r="K67" s="11">
        <f t="shared" ref="K67:K130" si="44">COUNTA(N67:Y67)/COUNTA($N$1:$Y$1)*100</f>
        <v>8.3333333333333321</v>
      </c>
      <c r="L67" s="11" t="str">
        <f t="shared" ref="L67:L130" si="45">IF(K67&gt;=33,"★★★★★",IF(K67&gt;=25,"★★★★",IF(K67&gt;=15,"★★★",IF(K67&gt;=5,"★★","★"))))</f>
        <v>★★</v>
      </c>
      <c r="M67" s="1" t="s">
        <v>114</v>
      </c>
      <c r="S67" s="1" t="s">
        <v>321</v>
      </c>
      <c r="Z67" s="1" t="s">
        <v>557</v>
      </c>
    </row>
    <row r="68" spans="3:26">
      <c r="C68" s="1" t="s">
        <v>226</v>
      </c>
      <c r="E68" s="2">
        <f>SUM(H68:H73)</f>
        <v>19</v>
      </c>
      <c r="F68" s="1" t="s">
        <v>97</v>
      </c>
      <c r="G68" s="3" t="s">
        <v>5</v>
      </c>
      <c r="H68" s="2">
        <f t="shared" si="34"/>
        <v>2</v>
      </c>
      <c r="I68" s="2">
        <f t="shared" si="35"/>
        <v>2</v>
      </c>
      <c r="J68" s="2" cm="1">
        <f t="array" ref="J68">MATCH(TRUE,M68:AA68&lt;&gt;"",0)-1</f>
        <v>1</v>
      </c>
      <c r="K68" s="11">
        <f t="shared" si="44"/>
        <v>16.666666666666664</v>
      </c>
      <c r="L68" s="11" t="str">
        <f t="shared" si="45"/>
        <v>★★★</v>
      </c>
      <c r="N68" s="1" t="s">
        <v>18</v>
      </c>
      <c r="U68" s="1" t="s">
        <v>432</v>
      </c>
    </row>
    <row r="69" spans="3:26">
      <c r="F69" s="1" t="s">
        <v>370</v>
      </c>
      <c r="G69" s="3" t="s">
        <v>5</v>
      </c>
      <c r="H69" s="2">
        <f t="shared" si="34"/>
        <v>9</v>
      </c>
      <c r="I69" s="2">
        <f t="shared" si="35"/>
        <v>9</v>
      </c>
      <c r="J69" s="2" cm="1">
        <f t="array" ref="J69">MATCH(TRUE,M69:AA69&lt;&gt;"",0)-1</f>
        <v>2</v>
      </c>
      <c r="K69" s="11">
        <f t="shared" si="44"/>
        <v>75</v>
      </c>
      <c r="L69" s="11" t="str">
        <f t="shared" si="45"/>
        <v>★★★★★</v>
      </c>
      <c r="O69" s="1" t="s">
        <v>45</v>
      </c>
      <c r="P69" s="1" t="s">
        <v>47</v>
      </c>
      <c r="Q69" s="1" t="s">
        <v>228</v>
      </c>
      <c r="S69" s="1" t="s">
        <v>56</v>
      </c>
      <c r="T69" s="1" t="s">
        <v>369</v>
      </c>
      <c r="V69" s="1" t="s">
        <v>451</v>
      </c>
      <c r="W69" s="1" t="s">
        <v>500</v>
      </c>
      <c r="X69" s="1" t="s">
        <v>535</v>
      </c>
      <c r="Y69" s="1" t="s">
        <v>557</v>
      </c>
    </row>
    <row r="70" spans="3:26">
      <c r="F70" s="1" t="s">
        <v>81</v>
      </c>
      <c r="G70" s="3" t="s">
        <v>5</v>
      </c>
      <c r="H70" s="2">
        <f t="shared" si="34"/>
        <v>4</v>
      </c>
      <c r="I70" s="2">
        <f t="shared" si="35"/>
        <v>4</v>
      </c>
      <c r="J70" s="2" cm="1">
        <f t="array" ref="J70">MATCH(TRUE,M70:AA70&lt;&gt;"",0)-1</f>
        <v>3</v>
      </c>
      <c r="K70" s="11">
        <f t="shared" si="44"/>
        <v>25</v>
      </c>
      <c r="L70" s="11" t="str">
        <f t="shared" si="45"/>
        <v>★★★★</v>
      </c>
      <c r="P70" s="1" t="s">
        <v>56</v>
      </c>
      <c r="Q70" s="1" t="s">
        <v>259</v>
      </c>
      <c r="U70" s="1" t="s">
        <v>408</v>
      </c>
      <c r="Z70" s="1" t="s">
        <v>586</v>
      </c>
    </row>
    <row r="71" spans="3:26">
      <c r="F71" s="1" t="s">
        <v>125</v>
      </c>
      <c r="G71" s="3" t="s">
        <v>5</v>
      </c>
      <c r="H71" s="2">
        <f t="shared" si="34"/>
        <v>2</v>
      </c>
      <c r="I71" s="2">
        <f t="shared" si="35"/>
        <v>1</v>
      </c>
      <c r="J71" s="2" cm="1">
        <f t="array" ref="J71">MATCH(TRUE,M71:AA71&lt;&gt;"",0)-1</f>
        <v>0</v>
      </c>
      <c r="K71" s="11">
        <f t="shared" si="44"/>
        <v>8.3333333333333321</v>
      </c>
      <c r="L71" s="11" t="str">
        <f t="shared" si="45"/>
        <v>★★</v>
      </c>
      <c r="M71" s="1" t="s">
        <v>126</v>
      </c>
      <c r="R71" s="1" t="s">
        <v>275</v>
      </c>
    </row>
    <row r="72" spans="3:26">
      <c r="F72" s="1" t="s">
        <v>123</v>
      </c>
      <c r="G72" s="3" t="s">
        <v>5</v>
      </c>
      <c r="H72" s="2">
        <f t="shared" si="34"/>
        <v>1</v>
      </c>
      <c r="I72" s="2">
        <f t="shared" si="35"/>
        <v>0</v>
      </c>
      <c r="J72" s="2" cm="1">
        <f t="array" ref="J72">MATCH(TRUE,M72:AA72&lt;&gt;"",0)-1</f>
        <v>0</v>
      </c>
      <c r="K72" s="11">
        <f t="shared" si="44"/>
        <v>0</v>
      </c>
      <c r="L72" s="11" t="str">
        <f t="shared" si="45"/>
        <v>★</v>
      </c>
      <c r="M72" s="1" t="s">
        <v>124</v>
      </c>
    </row>
    <row r="73" spans="3:26">
      <c r="F73" s="1" t="s">
        <v>276</v>
      </c>
      <c r="G73" s="3" t="s">
        <v>5</v>
      </c>
      <c r="H73" s="2">
        <f t="shared" si="34"/>
        <v>1</v>
      </c>
      <c r="I73" s="2">
        <f t="shared" si="35"/>
        <v>1</v>
      </c>
      <c r="J73" s="2" cm="1">
        <f t="array" ref="J73">MATCH(TRUE,M73:AA73&lt;&gt;"",0)-1</f>
        <v>5</v>
      </c>
      <c r="K73" s="11">
        <f t="shared" si="44"/>
        <v>8.3333333333333321</v>
      </c>
      <c r="L73" s="11" t="str">
        <f t="shared" si="45"/>
        <v>★★</v>
      </c>
      <c r="R73" s="1" t="s">
        <v>277</v>
      </c>
    </row>
    <row r="74" spans="3:26">
      <c r="F74" s="1" t="s">
        <v>542</v>
      </c>
      <c r="G74" s="3" t="s">
        <v>5</v>
      </c>
      <c r="H74" s="2">
        <f t="shared" ref="H74" si="46">COUNTA(M74:AP74)</f>
        <v>1</v>
      </c>
      <c r="I74" s="2">
        <f t="shared" ref="I74" si="47">COUNTA(N74:AQ74)</f>
        <v>1</v>
      </c>
      <c r="J74" s="2" cm="1">
        <f t="array" ref="J74">MATCH(TRUE,M74:AA74&lt;&gt;"",0)-1</f>
        <v>11</v>
      </c>
      <c r="K74" s="11">
        <f t="shared" si="44"/>
        <v>8.3333333333333321</v>
      </c>
      <c r="L74" s="11" t="str">
        <f t="shared" si="45"/>
        <v>★★</v>
      </c>
      <c r="X74" s="1" t="s">
        <v>507</v>
      </c>
    </row>
    <row r="75" spans="3:26">
      <c r="C75" s="1" t="s">
        <v>225</v>
      </c>
      <c r="E75" s="2">
        <f>SUM(H75:H79)</f>
        <v>9</v>
      </c>
      <c r="F75" s="1" t="s">
        <v>559</v>
      </c>
      <c r="G75" s="3" t="s">
        <v>5</v>
      </c>
      <c r="H75" s="2">
        <f t="shared" si="34"/>
        <v>3</v>
      </c>
      <c r="I75" s="2">
        <f t="shared" si="35"/>
        <v>3</v>
      </c>
      <c r="J75" s="2" cm="1">
        <f t="array" ref="J75">MATCH(TRUE,M75:AA75&lt;&gt;"",0)-1</f>
        <v>2</v>
      </c>
      <c r="K75" s="11">
        <f t="shared" si="44"/>
        <v>25</v>
      </c>
      <c r="L75" s="11" t="str">
        <f t="shared" si="45"/>
        <v>★★★★</v>
      </c>
      <c r="O75" s="1" t="s">
        <v>82</v>
      </c>
      <c r="S75" s="1" t="s">
        <v>358</v>
      </c>
      <c r="Y75" s="1" t="s">
        <v>558</v>
      </c>
    </row>
    <row r="76" spans="3:26">
      <c r="F76" s="1" t="s">
        <v>199</v>
      </c>
      <c r="G76" s="4" t="s">
        <v>6</v>
      </c>
      <c r="H76" s="2">
        <f t="shared" si="34"/>
        <v>3</v>
      </c>
      <c r="I76" s="2">
        <f t="shared" si="35"/>
        <v>3</v>
      </c>
      <c r="J76" s="2" cm="1">
        <f t="array" ref="J76">MATCH(TRUE,M76:AA76&lt;&gt;"",0)-1</f>
        <v>1</v>
      </c>
      <c r="K76" s="11">
        <f t="shared" si="44"/>
        <v>25</v>
      </c>
      <c r="L76" s="11" t="str">
        <f t="shared" si="45"/>
        <v>★★★★</v>
      </c>
      <c r="N76" s="1" t="s">
        <v>20</v>
      </c>
      <c r="T76" s="1" t="s">
        <v>368</v>
      </c>
      <c r="X76" s="1" t="s">
        <v>499</v>
      </c>
    </row>
    <row r="77" spans="3:26">
      <c r="F77" s="1" t="s">
        <v>449</v>
      </c>
      <c r="G77" s="3" t="s">
        <v>5</v>
      </c>
      <c r="H77" s="2">
        <f t="shared" si="34"/>
        <v>1</v>
      </c>
      <c r="I77" s="2">
        <f t="shared" si="35"/>
        <v>1</v>
      </c>
      <c r="J77" s="2" cm="1">
        <f t="array" ref="J77">MATCH(TRUE,M77:AA77&lt;&gt;"",0)-1</f>
        <v>9</v>
      </c>
      <c r="K77" s="11">
        <f t="shared" si="44"/>
        <v>8.3333333333333321</v>
      </c>
      <c r="L77" s="11" t="str">
        <f t="shared" si="45"/>
        <v>★★</v>
      </c>
      <c r="V77" s="1" t="s">
        <v>450</v>
      </c>
    </row>
    <row r="78" spans="3:26">
      <c r="F78" s="1" t="s">
        <v>314</v>
      </c>
      <c r="G78" s="3" t="s">
        <v>5</v>
      </c>
      <c r="H78" s="2">
        <f t="shared" si="34"/>
        <v>1</v>
      </c>
      <c r="I78" s="2">
        <f t="shared" si="35"/>
        <v>1</v>
      </c>
      <c r="J78" s="2" cm="1">
        <f t="array" ref="J78">MATCH(TRUE,M78:AA78&lt;&gt;"",0)-1</f>
        <v>5</v>
      </c>
      <c r="K78" s="11">
        <f t="shared" si="44"/>
        <v>8.3333333333333321</v>
      </c>
      <c r="L78" s="11" t="str">
        <f t="shared" si="45"/>
        <v>★★</v>
      </c>
      <c r="R78" s="1" t="s">
        <v>47</v>
      </c>
    </row>
    <row r="79" spans="3:26">
      <c r="F79" s="1" t="s">
        <v>534</v>
      </c>
      <c r="G79" s="3" t="s">
        <v>5</v>
      </c>
      <c r="H79" s="2">
        <f t="shared" ref="H79:H80" si="48">COUNTA(M79:AP79)</f>
        <v>1</v>
      </c>
      <c r="I79" s="2">
        <f t="shared" ref="I79:I80" si="49">COUNTA(N79:AQ79)</f>
        <v>1</v>
      </c>
      <c r="J79" s="2" cm="1">
        <f t="array" ref="J79">MATCH(TRUE,M79:AA79&lt;&gt;"",0)-1</f>
        <v>10</v>
      </c>
      <c r="K79" s="11">
        <f t="shared" si="44"/>
        <v>8.3333333333333321</v>
      </c>
      <c r="L79" s="11" t="str">
        <f t="shared" si="45"/>
        <v>★★</v>
      </c>
      <c r="W79" s="1" t="s">
        <v>535</v>
      </c>
    </row>
    <row r="80" spans="3:26">
      <c r="C80" s="1" t="s">
        <v>227</v>
      </c>
      <c r="E80" s="2">
        <f>SUM(H80:H81)</f>
        <v>3</v>
      </c>
      <c r="F80" s="1" t="s">
        <v>182</v>
      </c>
      <c r="G80" s="3" t="s">
        <v>5</v>
      </c>
      <c r="H80" s="2">
        <f t="shared" si="48"/>
        <v>1</v>
      </c>
      <c r="I80" s="2">
        <f t="shared" si="49"/>
        <v>1</v>
      </c>
      <c r="J80" s="2" cm="1">
        <f t="array" ref="J80">MATCH(TRUE,M80:AA80&lt;&gt;"",0)-1</f>
        <v>2</v>
      </c>
      <c r="K80" s="11">
        <f t="shared" si="44"/>
        <v>8.3333333333333321</v>
      </c>
      <c r="L80" s="11" t="str">
        <f t="shared" si="45"/>
        <v>★★</v>
      </c>
      <c r="O80" s="1" t="s">
        <v>59</v>
      </c>
    </row>
    <row r="81" spans="1:26">
      <c r="F81" s="1" t="s">
        <v>363</v>
      </c>
      <c r="G81" s="3" t="s">
        <v>5</v>
      </c>
      <c r="H81" s="2">
        <f t="shared" ref="H81" si="50">COUNTA(M81:AP81)</f>
        <v>2</v>
      </c>
      <c r="I81" s="2">
        <f t="shared" ref="I81" si="51">COUNTA(N81:AQ81)</f>
        <v>2</v>
      </c>
      <c r="J81" s="2" cm="1">
        <f t="array" ref="J81">MATCH(TRUE,M81:AA81&lt;&gt;"",0)-1</f>
        <v>7</v>
      </c>
      <c r="K81" s="11">
        <f t="shared" si="44"/>
        <v>8.3333333333333321</v>
      </c>
      <c r="L81" s="11" t="str">
        <f t="shared" si="45"/>
        <v>★★</v>
      </c>
      <c r="T81" s="1" t="s">
        <v>364</v>
      </c>
      <c r="Z81" s="1" t="s">
        <v>585</v>
      </c>
    </row>
    <row r="82" spans="1:26">
      <c r="A82" s="1" t="s">
        <v>7</v>
      </c>
      <c r="B82" s="1" t="s">
        <v>442</v>
      </c>
      <c r="E82" s="2">
        <f>SUM(H82:H87)</f>
        <v>16</v>
      </c>
      <c r="F82" s="1" t="s">
        <v>593</v>
      </c>
      <c r="G82" s="5" t="s">
        <v>84</v>
      </c>
      <c r="H82" s="2">
        <f t="shared" ref="H82:H99" si="52">COUNTA(M82:AP82)</f>
        <v>7</v>
      </c>
      <c r="I82" s="2">
        <f t="shared" ref="I82:I99" si="53">COUNTA(N82:AQ82)</f>
        <v>6</v>
      </c>
      <c r="J82" s="2" cm="1">
        <f t="array" ref="J82">MATCH(TRUE,M82:AA82&lt;&gt;"",0)-1</f>
        <v>0</v>
      </c>
      <c r="K82" s="11">
        <f t="shared" si="44"/>
        <v>41.666666666666671</v>
      </c>
      <c r="L82" s="11" t="str">
        <f t="shared" si="45"/>
        <v>★★★★★</v>
      </c>
      <c r="M82" s="1" t="s">
        <v>61</v>
      </c>
      <c r="N82" s="1" t="s">
        <v>23</v>
      </c>
      <c r="O82" s="1" t="s">
        <v>63</v>
      </c>
      <c r="T82" s="1" t="s">
        <v>379</v>
      </c>
      <c r="V82" s="1" t="s">
        <v>466</v>
      </c>
      <c r="Y82" s="1" t="s">
        <v>567</v>
      </c>
      <c r="Z82" s="1" t="s">
        <v>566</v>
      </c>
    </row>
    <row r="83" spans="1:26">
      <c r="F83" s="1" t="s">
        <v>101</v>
      </c>
      <c r="G83" s="4" t="s">
        <v>6</v>
      </c>
      <c r="H83" s="2">
        <f t="shared" si="52"/>
        <v>2</v>
      </c>
      <c r="I83" s="2">
        <f t="shared" si="53"/>
        <v>2</v>
      </c>
      <c r="J83" s="2" cm="1">
        <f t="array" ref="J83">MATCH(TRUE,M83:AA83&lt;&gt;"",0)-1</f>
        <v>1</v>
      </c>
      <c r="K83" s="11">
        <f t="shared" si="44"/>
        <v>16.666666666666664</v>
      </c>
      <c r="L83" s="11" t="str">
        <f t="shared" si="45"/>
        <v>★★★</v>
      </c>
      <c r="N83" s="1" t="s">
        <v>25</v>
      </c>
      <c r="S83" s="1" t="s">
        <v>332</v>
      </c>
    </row>
    <row r="84" spans="1:26">
      <c r="F84" s="1" t="s">
        <v>83</v>
      </c>
      <c r="G84" s="3" t="s">
        <v>5</v>
      </c>
      <c r="H84" s="2">
        <f t="shared" si="52"/>
        <v>1</v>
      </c>
      <c r="I84" s="2">
        <f t="shared" si="53"/>
        <v>1</v>
      </c>
      <c r="J84" s="2" cm="1">
        <f t="array" ref="J84">MATCH(TRUE,M84:AA84&lt;&gt;"",0)-1</f>
        <v>3</v>
      </c>
      <c r="K84" s="11">
        <f t="shared" si="44"/>
        <v>8.3333333333333321</v>
      </c>
      <c r="L84" s="11" t="str">
        <f t="shared" si="45"/>
        <v>★★</v>
      </c>
      <c r="P84" s="1" t="s">
        <v>61</v>
      </c>
    </row>
    <row r="85" spans="1:26">
      <c r="F85" s="1" t="s">
        <v>377</v>
      </c>
      <c r="G85" s="3" t="s">
        <v>5</v>
      </c>
      <c r="H85" s="2">
        <f t="shared" ref="H85:H86" si="54">COUNTA(M85:AP85)</f>
        <v>1</v>
      </c>
      <c r="I85" s="2">
        <f t="shared" ref="I85:I86" si="55">COUNTA(N85:AQ85)</f>
        <v>1</v>
      </c>
      <c r="J85" s="2" cm="1">
        <f t="array" ref="J85">MATCH(TRUE,M85:AA85&lt;&gt;"",0)-1</f>
        <v>7</v>
      </c>
      <c r="K85" s="11">
        <f t="shared" si="44"/>
        <v>8.3333333333333321</v>
      </c>
      <c r="L85" s="11" t="str">
        <f t="shared" si="45"/>
        <v>★★</v>
      </c>
      <c r="T85" s="1" t="s">
        <v>378</v>
      </c>
    </row>
    <row r="86" spans="1:26">
      <c r="F86" s="1" t="s">
        <v>286</v>
      </c>
      <c r="G86" s="3" t="s">
        <v>5</v>
      </c>
      <c r="H86" s="2">
        <f t="shared" si="54"/>
        <v>4</v>
      </c>
      <c r="I86" s="2">
        <f t="shared" si="55"/>
        <v>3</v>
      </c>
      <c r="J86" s="2" cm="1">
        <f t="array" ref="J86">MATCH(TRUE,M86:AA86&lt;&gt;"",0)-1</f>
        <v>0</v>
      </c>
      <c r="K86" s="11">
        <f t="shared" si="44"/>
        <v>16.666666666666664</v>
      </c>
      <c r="L86" s="11" t="str">
        <f t="shared" si="45"/>
        <v>★★★</v>
      </c>
      <c r="M86" s="1" t="s">
        <v>63</v>
      </c>
      <c r="R86" s="1" t="s">
        <v>63</v>
      </c>
      <c r="V86" s="1" t="s">
        <v>63</v>
      </c>
      <c r="Z86" s="1" t="s">
        <v>567</v>
      </c>
    </row>
    <row r="87" spans="1:26">
      <c r="F87" s="1" t="s">
        <v>565</v>
      </c>
      <c r="G87" s="3" t="s">
        <v>5</v>
      </c>
      <c r="H87" s="2">
        <f t="shared" si="52"/>
        <v>1</v>
      </c>
      <c r="I87" s="2">
        <f t="shared" si="53"/>
        <v>1</v>
      </c>
      <c r="J87" s="2" cm="1">
        <f t="array" ref="J87">MATCH(TRUE,M87:AA87&lt;&gt;"",0)-1</f>
        <v>12</v>
      </c>
      <c r="K87" s="11">
        <f t="shared" si="44"/>
        <v>8.3333333333333321</v>
      </c>
      <c r="L87" s="11" t="str">
        <f t="shared" si="45"/>
        <v>★★</v>
      </c>
      <c r="Y87" s="1" t="s">
        <v>566</v>
      </c>
    </row>
    <row r="88" spans="1:26">
      <c r="B88" s="1" t="s">
        <v>64</v>
      </c>
      <c r="E88" s="2">
        <f>SUM(H88:H91)</f>
        <v>8</v>
      </c>
      <c r="F88" s="1" t="s">
        <v>282</v>
      </c>
      <c r="G88" s="3" t="s">
        <v>5</v>
      </c>
      <c r="H88" s="2">
        <f t="shared" si="52"/>
        <v>2</v>
      </c>
      <c r="I88" s="2">
        <f t="shared" si="53"/>
        <v>2</v>
      </c>
      <c r="J88" s="2" cm="1">
        <f t="array" ref="J88">MATCH(TRUE,M88:AA88&lt;&gt;"",0)-1</f>
        <v>1</v>
      </c>
      <c r="K88" s="11">
        <f t="shared" si="44"/>
        <v>16.666666666666664</v>
      </c>
      <c r="L88" s="11" t="str">
        <f t="shared" si="45"/>
        <v>★★★</v>
      </c>
      <c r="N88" s="1" t="s">
        <v>24</v>
      </c>
      <c r="S88" s="1" t="s">
        <v>331</v>
      </c>
    </row>
    <row r="89" spans="1:26">
      <c r="F89" s="1" t="s">
        <v>283</v>
      </c>
      <c r="G89" s="4" t="s">
        <v>6</v>
      </c>
      <c r="H89" s="2">
        <f t="shared" si="52"/>
        <v>2</v>
      </c>
      <c r="I89" s="2">
        <f t="shared" si="53"/>
        <v>2</v>
      </c>
      <c r="J89" s="2" cm="1">
        <f t="array" ref="J89">MATCH(TRUE,M89:AA89&lt;&gt;"",0)-1</f>
        <v>5</v>
      </c>
      <c r="K89" s="11">
        <f t="shared" si="44"/>
        <v>8.3333333333333321</v>
      </c>
      <c r="L89" s="11" t="str">
        <f t="shared" si="45"/>
        <v>★★</v>
      </c>
      <c r="R89" s="1" t="s">
        <v>281</v>
      </c>
      <c r="Z89" s="1" t="s">
        <v>568</v>
      </c>
    </row>
    <row r="90" spans="1:26">
      <c r="F90" s="1" t="s">
        <v>185</v>
      </c>
      <c r="G90" s="3" t="s">
        <v>5</v>
      </c>
      <c r="H90" s="2">
        <f t="shared" si="52"/>
        <v>2</v>
      </c>
      <c r="I90" s="2">
        <f t="shared" si="53"/>
        <v>2</v>
      </c>
      <c r="J90" s="2" cm="1">
        <f t="array" ref="J90">MATCH(TRUE,M90:AA90&lt;&gt;"",0)-1</f>
        <v>2</v>
      </c>
      <c r="K90" s="11">
        <f t="shared" si="44"/>
        <v>16.666666666666664</v>
      </c>
      <c r="L90" s="11" t="str">
        <f t="shared" si="45"/>
        <v>★★★</v>
      </c>
      <c r="O90" s="1" t="s">
        <v>62</v>
      </c>
      <c r="U90" s="1" t="s">
        <v>416</v>
      </c>
    </row>
    <row r="91" spans="1:26">
      <c r="F91" s="1" t="s">
        <v>200</v>
      </c>
      <c r="G91" s="3" t="s">
        <v>5</v>
      </c>
      <c r="H91" s="2">
        <f t="shared" si="52"/>
        <v>2</v>
      </c>
      <c r="I91" s="2">
        <f t="shared" si="53"/>
        <v>2</v>
      </c>
      <c r="J91" s="2" cm="1">
        <f t="array" ref="J91">MATCH(TRUE,M91:AA91&lt;&gt;"",0)-1</f>
        <v>3</v>
      </c>
      <c r="K91" s="11">
        <f t="shared" si="44"/>
        <v>16.666666666666664</v>
      </c>
      <c r="L91" s="11" t="str">
        <f t="shared" si="45"/>
        <v>★★★</v>
      </c>
      <c r="P91" s="1" t="s">
        <v>62</v>
      </c>
      <c r="T91" s="1" t="s">
        <v>380</v>
      </c>
    </row>
    <row r="92" spans="1:26">
      <c r="B92" s="1" t="s">
        <v>65</v>
      </c>
      <c r="C92" s="1" t="s">
        <v>139</v>
      </c>
      <c r="E92" s="2">
        <f>SUM(H92:H96)</f>
        <v>8</v>
      </c>
      <c r="F92" s="1" t="s">
        <v>111</v>
      </c>
      <c r="G92" s="3" t="s">
        <v>5</v>
      </c>
      <c r="H92" s="2">
        <f t="shared" si="52"/>
        <v>1</v>
      </c>
      <c r="I92" s="2">
        <f t="shared" si="53"/>
        <v>1</v>
      </c>
      <c r="J92" s="2" cm="1">
        <f t="array" ref="J92">MATCH(TRUE,M92:AA92&lt;&gt;"",0)-1</f>
        <v>1</v>
      </c>
      <c r="K92" s="11">
        <f t="shared" si="44"/>
        <v>8.3333333333333321</v>
      </c>
      <c r="L92" s="11" t="str">
        <f t="shared" si="45"/>
        <v>★★</v>
      </c>
      <c r="N92" s="1" t="s">
        <v>44</v>
      </c>
    </row>
    <row r="93" spans="1:26">
      <c r="F93" s="1" t="s">
        <v>186</v>
      </c>
      <c r="G93" s="3" t="s">
        <v>5</v>
      </c>
      <c r="H93" s="2">
        <f t="shared" si="52"/>
        <v>1</v>
      </c>
      <c r="I93" s="2">
        <f t="shared" si="53"/>
        <v>1</v>
      </c>
      <c r="J93" s="2" cm="1">
        <f t="array" ref="J93">MATCH(TRUE,M93:AA93&lt;&gt;"",0)-1</f>
        <v>2</v>
      </c>
      <c r="K93" s="11">
        <f t="shared" si="44"/>
        <v>8.3333333333333321</v>
      </c>
      <c r="L93" s="11" t="str">
        <f t="shared" si="45"/>
        <v>★★</v>
      </c>
      <c r="O93" s="1" t="s">
        <v>66</v>
      </c>
    </row>
    <row r="94" spans="1:26">
      <c r="F94" s="1" t="s">
        <v>140</v>
      </c>
      <c r="G94" s="3" t="s">
        <v>5</v>
      </c>
      <c r="H94" s="2">
        <f t="shared" si="52"/>
        <v>2</v>
      </c>
      <c r="I94" s="2">
        <f t="shared" si="53"/>
        <v>1</v>
      </c>
      <c r="J94" s="2" cm="1">
        <f t="array" ref="J94">MATCH(TRUE,M94:AA94&lt;&gt;"",0)-1</f>
        <v>0</v>
      </c>
      <c r="K94" s="11">
        <f t="shared" si="44"/>
        <v>8.3333333333333321</v>
      </c>
      <c r="L94" s="11" t="str">
        <f t="shared" si="45"/>
        <v>★★</v>
      </c>
      <c r="M94" s="1" t="s">
        <v>141</v>
      </c>
      <c r="U94" s="1" t="s">
        <v>419</v>
      </c>
    </row>
    <row r="95" spans="1:26">
      <c r="F95" s="1" t="s">
        <v>254</v>
      </c>
      <c r="G95" s="3" t="s">
        <v>5</v>
      </c>
      <c r="H95" s="2">
        <f t="shared" si="52"/>
        <v>3</v>
      </c>
      <c r="I95" s="2">
        <f t="shared" si="53"/>
        <v>3</v>
      </c>
      <c r="J95" s="2" cm="1">
        <f t="array" ref="J95">MATCH(TRUE,M95:AA95&lt;&gt;"",0)-1</f>
        <v>4</v>
      </c>
      <c r="K95" s="11">
        <f t="shared" si="44"/>
        <v>25</v>
      </c>
      <c r="L95" s="11" t="str">
        <f t="shared" si="45"/>
        <v>★★★★</v>
      </c>
      <c r="Q95" s="1" t="s">
        <v>255</v>
      </c>
      <c r="T95" s="1" t="s">
        <v>391</v>
      </c>
      <c r="X95" s="1" t="s">
        <v>527</v>
      </c>
    </row>
    <row r="96" spans="1:26">
      <c r="F96" s="1" t="s">
        <v>414</v>
      </c>
      <c r="G96" s="3" t="s">
        <v>5</v>
      </c>
      <c r="H96" s="2">
        <f t="shared" ref="H96" si="56">COUNTA(M96:AP96)</f>
        <v>1</v>
      </c>
      <c r="I96" s="2">
        <f t="shared" ref="I96" si="57">COUNTA(N96:AQ96)</f>
        <v>1</v>
      </c>
      <c r="J96" s="2" cm="1">
        <f t="array" ref="J96">MATCH(TRUE,M96:AA96&lt;&gt;"",0)-1</f>
        <v>8</v>
      </c>
      <c r="K96" s="11">
        <f t="shared" si="44"/>
        <v>8.3333333333333321</v>
      </c>
      <c r="L96" s="11" t="str">
        <f t="shared" si="45"/>
        <v>★★</v>
      </c>
      <c r="U96" s="1" t="s">
        <v>413</v>
      </c>
    </row>
    <row r="97" spans="2:26">
      <c r="B97" s="1" t="s">
        <v>437</v>
      </c>
      <c r="E97" s="2">
        <f>SUM(H97:H107)</f>
        <v>18</v>
      </c>
      <c r="F97" s="1" t="s">
        <v>136</v>
      </c>
      <c r="G97" s="3" t="s">
        <v>5</v>
      </c>
      <c r="H97" s="2">
        <f t="shared" si="52"/>
        <v>2</v>
      </c>
      <c r="I97" s="2">
        <f t="shared" si="53"/>
        <v>2</v>
      </c>
      <c r="J97" s="2" cm="1">
        <f t="array" ref="J97">MATCH(TRUE,M97:AA97&lt;&gt;"",0)-1</f>
        <v>1</v>
      </c>
      <c r="K97" s="11">
        <f t="shared" si="44"/>
        <v>8.3333333333333321</v>
      </c>
      <c r="L97" s="11" t="str">
        <f t="shared" si="45"/>
        <v>★★</v>
      </c>
      <c r="N97" s="1" t="s">
        <v>48</v>
      </c>
      <c r="Z97" s="1" t="s">
        <v>588</v>
      </c>
    </row>
    <row r="98" spans="2:26">
      <c r="F98" s="1" t="s">
        <v>137</v>
      </c>
      <c r="G98" s="3" t="s">
        <v>5</v>
      </c>
      <c r="H98" s="2">
        <f t="shared" si="52"/>
        <v>1</v>
      </c>
      <c r="I98" s="2">
        <f t="shared" si="53"/>
        <v>0</v>
      </c>
      <c r="J98" s="2" cm="1">
        <f t="array" ref="J98">MATCH(TRUE,M98:AA98&lt;&gt;"",0)-1</f>
        <v>0</v>
      </c>
      <c r="K98" s="11">
        <f t="shared" si="44"/>
        <v>0</v>
      </c>
      <c r="L98" s="11" t="str">
        <f t="shared" si="45"/>
        <v>★</v>
      </c>
      <c r="M98" s="1" t="s">
        <v>138</v>
      </c>
    </row>
    <row r="99" spans="2:26">
      <c r="F99" s="1" t="s">
        <v>70</v>
      </c>
      <c r="G99" s="3" t="s">
        <v>5</v>
      </c>
      <c r="H99" s="2">
        <f t="shared" si="52"/>
        <v>2</v>
      </c>
      <c r="I99" s="2">
        <f t="shared" si="53"/>
        <v>2</v>
      </c>
      <c r="J99" s="2" cm="1">
        <f t="array" ref="J99">MATCH(TRUE,M99:AA99&lt;&gt;"",0)-1</f>
        <v>2</v>
      </c>
      <c r="K99" s="11">
        <f t="shared" si="44"/>
        <v>16.666666666666664</v>
      </c>
      <c r="L99" s="11" t="str">
        <f t="shared" si="45"/>
        <v>★★★</v>
      </c>
      <c r="O99" s="1" t="s">
        <v>71</v>
      </c>
      <c r="Y99" s="1" t="s">
        <v>572</v>
      </c>
    </row>
    <row r="100" spans="2:26">
      <c r="F100" s="1" t="s">
        <v>315</v>
      </c>
      <c r="G100" s="3" t="s">
        <v>5</v>
      </c>
      <c r="H100" s="2">
        <f t="shared" ref="H100" si="58">COUNTA(M100:AP100)</f>
        <v>1</v>
      </c>
      <c r="I100" s="2">
        <f t="shared" ref="I100" si="59">COUNTA(N100:AQ100)</f>
        <v>1</v>
      </c>
      <c r="J100" s="2" cm="1">
        <f t="array" ref="J100">MATCH(TRUE,M100:AA100&lt;&gt;"",0)-1</f>
        <v>5</v>
      </c>
      <c r="K100" s="11">
        <f t="shared" si="44"/>
        <v>8.3333333333333321</v>
      </c>
      <c r="L100" s="11" t="str">
        <f t="shared" si="45"/>
        <v>★★</v>
      </c>
      <c r="R100" s="1" t="s">
        <v>264</v>
      </c>
    </row>
    <row r="101" spans="2:26">
      <c r="F101" s="1" t="s">
        <v>284</v>
      </c>
      <c r="G101" s="3" t="s">
        <v>5</v>
      </c>
      <c r="H101" s="2">
        <f t="shared" ref="H101:I106" si="60">COUNTA(M101:AP101)</f>
        <v>2</v>
      </c>
      <c r="I101" s="2">
        <f t="shared" si="60"/>
        <v>2</v>
      </c>
      <c r="J101" s="2" cm="1">
        <f t="array" ref="J101">MATCH(TRUE,M101:AA101&lt;&gt;"",0)-1</f>
        <v>5</v>
      </c>
      <c r="K101" s="11">
        <f t="shared" si="44"/>
        <v>16.666666666666664</v>
      </c>
      <c r="L101" s="11" t="str">
        <f t="shared" si="45"/>
        <v>★★★</v>
      </c>
      <c r="R101" s="1" t="s">
        <v>285</v>
      </c>
      <c r="X101" s="1" t="s">
        <v>505</v>
      </c>
    </row>
    <row r="102" spans="2:26">
      <c r="F102" s="1" t="s">
        <v>202</v>
      </c>
      <c r="G102" s="3" t="s">
        <v>5</v>
      </c>
      <c r="H102" s="2">
        <f t="shared" si="60"/>
        <v>1</v>
      </c>
      <c r="I102" s="2">
        <f t="shared" si="60"/>
        <v>1</v>
      </c>
      <c r="J102" s="2" cm="1">
        <f t="array" ref="J102">MATCH(TRUE,M102:AA102&lt;&gt;"",0)-1</f>
        <v>3</v>
      </c>
      <c r="K102" s="11">
        <f t="shared" si="44"/>
        <v>8.3333333333333321</v>
      </c>
      <c r="L102" s="11" t="str">
        <f t="shared" si="45"/>
        <v>★★</v>
      </c>
      <c r="P102" s="1" t="s">
        <v>66</v>
      </c>
    </row>
    <row r="103" spans="2:26">
      <c r="F103" s="1" t="s">
        <v>238</v>
      </c>
      <c r="G103" s="3" t="s">
        <v>5</v>
      </c>
      <c r="H103" s="2">
        <f t="shared" si="60"/>
        <v>2</v>
      </c>
      <c r="I103" s="2">
        <f t="shared" si="60"/>
        <v>2</v>
      </c>
      <c r="J103" s="2" cm="1">
        <f t="array" ref="J103">MATCH(TRUE,M103:AA103&lt;&gt;"",0)-1</f>
        <v>4</v>
      </c>
      <c r="K103" s="11">
        <f t="shared" si="44"/>
        <v>16.666666666666664</v>
      </c>
      <c r="L103" s="11" t="str">
        <f t="shared" si="45"/>
        <v>★★★</v>
      </c>
      <c r="Q103" s="1" t="s">
        <v>239</v>
      </c>
      <c r="U103" s="1" t="s">
        <v>417</v>
      </c>
    </row>
    <row r="104" spans="2:26">
      <c r="F104" s="1" t="s">
        <v>438</v>
      </c>
      <c r="G104" s="3" t="s">
        <v>5</v>
      </c>
      <c r="H104" s="2">
        <f t="shared" si="60"/>
        <v>2</v>
      </c>
      <c r="I104" s="2">
        <f t="shared" si="60"/>
        <v>2</v>
      </c>
      <c r="J104" s="2" cm="1">
        <f t="array" ref="J104">MATCH(TRUE,M104:AA104&lt;&gt;"",0)-1</f>
        <v>3</v>
      </c>
      <c r="K104" s="11">
        <f t="shared" si="44"/>
        <v>16.666666666666664</v>
      </c>
      <c r="L104" s="11" t="str">
        <f t="shared" si="45"/>
        <v>★★★</v>
      </c>
      <c r="P104" s="1" t="s">
        <v>48</v>
      </c>
      <c r="U104" s="1" t="s">
        <v>433</v>
      </c>
    </row>
    <row r="105" spans="2:26">
      <c r="F105" s="1" t="s">
        <v>439</v>
      </c>
      <c r="G105" s="3" t="s">
        <v>5</v>
      </c>
      <c r="H105" s="2">
        <f t="shared" si="60"/>
        <v>2</v>
      </c>
      <c r="I105" s="2">
        <f t="shared" si="60"/>
        <v>1</v>
      </c>
      <c r="J105" s="2" cm="1">
        <f t="array" ref="J105">MATCH(TRUE,M105:AA105&lt;&gt;"",0)-1</f>
        <v>0</v>
      </c>
      <c r="K105" s="11">
        <f t="shared" si="44"/>
        <v>8.3333333333333321</v>
      </c>
      <c r="L105" s="11" t="str">
        <f t="shared" si="45"/>
        <v>★★</v>
      </c>
      <c r="M105" s="1" t="s">
        <v>171</v>
      </c>
      <c r="V105" s="1" t="s">
        <v>489</v>
      </c>
    </row>
    <row r="106" spans="2:26">
      <c r="F106" s="1" t="s">
        <v>440</v>
      </c>
      <c r="G106" s="3" t="s">
        <v>5</v>
      </c>
      <c r="H106" s="2">
        <f t="shared" si="60"/>
        <v>1</v>
      </c>
      <c r="I106" s="2">
        <f t="shared" si="60"/>
        <v>1</v>
      </c>
      <c r="J106" s="2" cm="1">
        <f t="array" ref="J106">MATCH(TRUE,M106:AA106&lt;&gt;"",0)-1</f>
        <v>6</v>
      </c>
      <c r="K106" s="11">
        <f t="shared" si="44"/>
        <v>8.3333333333333321</v>
      </c>
      <c r="L106" s="11" t="str">
        <f t="shared" si="45"/>
        <v>★★</v>
      </c>
      <c r="S106" s="1" t="s">
        <v>357</v>
      </c>
    </row>
    <row r="107" spans="2:26">
      <c r="F107" s="1" t="s">
        <v>441</v>
      </c>
      <c r="G107" s="3" t="s">
        <v>5</v>
      </c>
      <c r="H107" s="2">
        <f t="shared" ref="H107" si="61">COUNTA(M107:AP107)</f>
        <v>2</v>
      </c>
      <c r="I107" s="2">
        <f t="shared" ref="I107" si="62">COUNTA(N107:AQ107)</f>
        <v>2</v>
      </c>
      <c r="J107" s="2" cm="1">
        <f t="array" ref="J107">MATCH(TRUE,M107:AA107&lt;&gt;"",0)-1</f>
        <v>7</v>
      </c>
      <c r="K107" s="11">
        <f t="shared" si="44"/>
        <v>16.666666666666664</v>
      </c>
      <c r="L107" s="11" t="str">
        <f t="shared" si="45"/>
        <v>★★★</v>
      </c>
      <c r="T107" s="1" t="s">
        <v>381</v>
      </c>
      <c r="X107" s="1" t="s">
        <v>517</v>
      </c>
    </row>
    <row r="108" spans="2:26">
      <c r="B108" s="1" t="s">
        <v>67</v>
      </c>
      <c r="C108" s="1" t="s">
        <v>470</v>
      </c>
      <c r="E108" s="2">
        <f>SUM(H108:H114)</f>
        <v>14</v>
      </c>
      <c r="F108" s="1" t="s">
        <v>102</v>
      </c>
      <c r="G108" s="3" t="s">
        <v>5</v>
      </c>
      <c r="H108" s="2">
        <f>COUNTA(M108:AP108)</f>
        <v>3</v>
      </c>
      <c r="I108" s="2">
        <f>COUNTA(N108:AQ108)</f>
        <v>3</v>
      </c>
      <c r="J108" s="2" cm="1">
        <f t="array" ref="J108">MATCH(TRUE,M108:AA108&lt;&gt;"",0)-1</f>
        <v>1</v>
      </c>
      <c r="K108" s="11">
        <f t="shared" si="44"/>
        <v>25</v>
      </c>
      <c r="L108" s="11" t="str">
        <f t="shared" si="45"/>
        <v>★★★★</v>
      </c>
      <c r="N108" s="1" t="s">
        <v>26</v>
      </c>
      <c r="Q108" s="1" t="s">
        <v>235</v>
      </c>
      <c r="T108" s="1" t="s">
        <v>382</v>
      </c>
    </row>
    <row r="109" spans="2:26">
      <c r="F109" s="1" t="s">
        <v>203</v>
      </c>
      <c r="G109" s="3" t="s">
        <v>5</v>
      </c>
      <c r="H109" s="2">
        <f t="shared" ref="H109:H157" si="63">COUNTA(M109:AP109)</f>
        <v>2</v>
      </c>
      <c r="I109" s="2">
        <f t="shared" ref="I109:I157" si="64">COUNTA(N109:AQ109)</f>
        <v>2</v>
      </c>
      <c r="J109" s="2" cm="1">
        <f t="array" ref="J109">MATCH(TRUE,M109:AA109&lt;&gt;"",0)-1</f>
        <v>3</v>
      </c>
      <c r="K109" s="11">
        <f t="shared" si="44"/>
        <v>8.3333333333333321</v>
      </c>
      <c r="L109" s="11" t="str">
        <f t="shared" si="45"/>
        <v>★★</v>
      </c>
      <c r="P109" s="1" t="s">
        <v>69</v>
      </c>
      <c r="Z109" s="1" t="s">
        <v>570</v>
      </c>
    </row>
    <row r="110" spans="2:26">
      <c r="F110" s="1" t="s">
        <v>468</v>
      </c>
      <c r="G110" s="3" t="s">
        <v>5</v>
      </c>
      <c r="H110" s="2">
        <f t="shared" si="63"/>
        <v>1</v>
      </c>
      <c r="I110" s="2">
        <f t="shared" si="64"/>
        <v>1</v>
      </c>
      <c r="J110" s="2" cm="1">
        <f t="array" ref="J110">MATCH(TRUE,M110:AA110&lt;&gt;"",0)-1</f>
        <v>9</v>
      </c>
      <c r="K110" s="11">
        <f t="shared" si="44"/>
        <v>8.3333333333333321</v>
      </c>
      <c r="L110" s="11" t="str">
        <f t="shared" si="45"/>
        <v>★★</v>
      </c>
      <c r="V110" s="1" t="s">
        <v>69</v>
      </c>
    </row>
    <row r="111" spans="2:26">
      <c r="F111" s="1" t="s">
        <v>515</v>
      </c>
      <c r="G111" s="3" t="s">
        <v>5</v>
      </c>
      <c r="H111" s="2">
        <f t="shared" ref="H111" si="65">COUNTA(M111:AP111)</f>
        <v>1</v>
      </c>
      <c r="I111" s="2">
        <f t="shared" ref="I111" si="66">COUNTA(N111:AQ111)</f>
        <v>1</v>
      </c>
      <c r="J111" s="2" cm="1">
        <f t="array" ref="J111">MATCH(TRUE,M111:AA111&lt;&gt;"",0)-1</f>
        <v>10</v>
      </c>
      <c r="K111" s="11">
        <f t="shared" si="44"/>
        <v>8.3333333333333321</v>
      </c>
      <c r="L111" s="11" t="str">
        <f t="shared" si="45"/>
        <v>★★</v>
      </c>
      <c r="W111" s="1" t="s">
        <v>514</v>
      </c>
    </row>
    <row r="112" spans="2:26">
      <c r="C112" s="1" t="s">
        <v>469</v>
      </c>
      <c r="F112" s="1" t="s">
        <v>333</v>
      </c>
      <c r="G112" s="3" t="s">
        <v>5</v>
      </c>
      <c r="H112" s="2">
        <f t="shared" ref="H112" si="67">COUNTA(M112:AP112)</f>
        <v>2</v>
      </c>
      <c r="I112" s="2">
        <f t="shared" ref="I112" si="68">COUNTA(N112:AQ112)</f>
        <v>2</v>
      </c>
      <c r="J112" s="2" cm="1">
        <f t="array" ref="J112">MATCH(TRUE,M112:AA112&lt;&gt;"",0)-1</f>
        <v>6</v>
      </c>
      <c r="K112" s="11">
        <f t="shared" si="44"/>
        <v>16.666666666666664</v>
      </c>
      <c r="L112" s="11" t="str">
        <f t="shared" si="45"/>
        <v>★★★</v>
      </c>
      <c r="S112" s="1" t="s">
        <v>334</v>
      </c>
      <c r="W112" s="1" t="s">
        <v>513</v>
      </c>
    </row>
    <row r="113" spans="2:26">
      <c r="F113" s="1" t="s">
        <v>237</v>
      </c>
      <c r="G113" s="4" t="s">
        <v>6</v>
      </c>
      <c r="H113" s="2">
        <f t="shared" si="63"/>
        <v>3</v>
      </c>
      <c r="I113" s="2">
        <f t="shared" si="64"/>
        <v>3</v>
      </c>
      <c r="J113" s="2" cm="1">
        <f t="array" ref="J113">MATCH(TRUE,M113:AA113&lt;&gt;"",0)-1</f>
        <v>4</v>
      </c>
      <c r="K113" s="11">
        <f t="shared" si="44"/>
        <v>25</v>
      </c>
      <c r="L113" s="11" t="str">
        <f t="shared" si="45"/>
        <v>★★★★</v>
      </c>
      <c r="Q113" s="1" t="s">
        <v>62</v>
      </c>
      <c r="U113" s="1" t="s">
        <v>415</v>
      </c>
      <c r="X113" s="1" t="s">
        <v>504</v>
      </c>
    </row>
    <row r="114" spans="2:26">
      <c r="F114" s="1" t="s">
        <v>288</v>
      </c>
      <c r="G114" s="3" t="s">
        <v>5</v>
      </c>
      <c r="H114" s="2">
        <f t="shared" si="63"/>
        <v>2</v>
      </c>
      <c r="I114" s="2">
        <f t="shared" si="64"/>
        <v>2</v>
      </c>
      <c r="J114" s="2" cm="1">
        <f t="array" ref="J114">MATCH(TRUE,M114:AA114&lt;&gt;"",0)-1</f>
        <v>5</v>
      </c>
      <c r="K114" s="11">
        <f t="shared" si="44"/>
        <v>16.666666666666664</v>
      </c>
      <c r="L114" s="11" t="str">
        <f t="shared" si="45"/>
        <v>★★★</v>
      </c>
      <c r="R114" s="1" t="s">
        <v>287</v>
      </c>
      <c r="X114" s="1" t="s">
        <v>514</v>
      </c>
    </row>
    <row r="115" spans="2:26">
      <c r="B115" s="1" t="s">
        <v>68</v>
      </c>
      <c r="E115" s="2">
        <f>SUM(H115:H121)</f>
        <v>14</v>
      </c>
      <c r="F115" s="1" t="s">
        <v>187</v>
      </c>
      <c r="G115" s="3" t="s">
        <v>5</v>
      </c>
      <c r="H115" s="2">
        <f t="shared" si="63"/>
        <v>2</v>
      </c>
      <c r="I115" s="2">
        <f t="shared" si="64"/>
        <v>2</v>
      </c>
      <c r="J115" s="2" cm="1">
        <f t="array" ref="J115">MATCH(TRUE,M115:AA115&lt;&gt;"",0)-1</f>
        <v>2</v>
      </c>
      <c r="K115" s="11">
        <f t="shared" si="44"/>
        <v>16.666666666666664</v>
      </c>
      <c r="L115" s="11" t="str">
        <f t="shared" si="45"/>
        <v>★★★</v>
      </c>
      <c r="O115" s="1" t="s">
        <v>69</v>
      </c>
      <c r="U115" s="1" t="s">
        <v>418</v>
      </c>
    </row>
    <row r="116" spans="2:26">
      <c r="F116" s="1" t="s">
        <v>516</v>
      </c>
      <c r="G116" s="3" t="s">
        <v>5</v>
      </c>
      <c r="H116" s="2">
        <f t="shared" si="63"/>
        <v>2</v>
      </c>
      <c r="I116" s="2">
        <f t="shared" si="64"/>
        <v>2</v>
      </c>
      <c r="J116" s="2" cm="1">
        <f t="array" ref="J116">MATCH(TRUE,M116:AA116&lt;&gt;"",0)-1</f>
        <v>2</v>
      </c>
      <c r="K116" s="11">
        <f t="shared" si="44"/>
        <v>16.666666666666664</v>
      </c>
      <c r="L116" s="11" t="str">
        <f t="shared" si="45"/>
        <v>★★★</v>
      </c>
      <c r="O116" s="1" t="s">
        <v>48</v>
      </c>
      <c r="W116" s="1" t="s">
        <v>517</v>
      </c>
    </row>
    <row r="117" spans="2:26">
      <c r="F117" s="1" t="s">
        <v>134</v>
      </c>
      <c r="G117" s="4" t="s">
        <v>6</v>
      </c>
      <c r="H117" s="2">
        <f t="shared" si="63"/>
        <v>2</v>
      </c>
      <c r="I117" s="2">
        <f t="shared" si="64"/>
        <v>1</v>
      </c>
      <c r="J117" s="2" cm="1">
        <f t="array" ref="J117">MATCH(TRUE,M117:AA117&lt;&gt;"",0)-1</f>
        <v>0</v>
      </c>
      <c r="K117" s="11">
        <f t="shared" si="44"/>
        <v>8.3333333333333321</v>
      </c>
      <c r="L117" s="11" t="str">
        <f t="shared" si="45"/>
        <v>★★</v>
      </c>
      <c r="M117" s="1" t="s">
        <v>135</v>
      </c>
      <c r="Y117" s="1" t="s">
        <v>569</v>
      </c>
    </row>
    <row r="118" spans="2:26">
      <c r="F118" s="1" t="s">
        <v>471</v>
      </c>
      <c r="G118" s="3" t="s">
        <v>5</v>
      </c>
      <c r="H118" s="2">
        <f t="shared" ref="H118" si="69">COUNTA(M118:AP118)</f>
        <v>2</v>
      </c>
      <c r="I118" s="2">
        <f t="shared" ref="I118" si="70">COUNTA(N118:AQ118)</f>
        <v>2</v>
      </c>
      <c r="J118" s="2" cm="1">
        <f t="array" ref="J118">MATCH(TRUE,M118:AA118&lt;&gt;"",0)-1</f>
        <v>1</v>
      </c>
      <c r="K118" s="11">
        <f t="shared" si="44"/>
        <v>16.666666666666664</v>
      </c>
      <c r="L118" s="11" t="str">
        <f t="shared" si="45"/>
        <v>★★★</v>
      </c>
      <c r="N118" s="1" t="s">
        <v>27</v>
      </c>
      <c r="V118" s="1" t="s">
        <v>472</v>
      </c>
    </row>
    <row r="119" spans="2:26">
      <c r="F119" s="1" t="s">
        <v>261</v>
      </c>
      <c r="G119" s="3" t="s">
        <v>5</v>
      </c>
      <c r="H119" s="2">
        <f t="shared" si="63"/>
        <v>3</v>
      </c>
      <c r="I119" s="2">
        <f t="shared" si="64"/>
        <v>3</v>
      </c>
      <c r="J119" s="2" cm="1">
        <f t="array" ref="J119">MATCH(TRUE,M119:AA119&lt;&gt;"",0)-1</f>
        <v>4</v>
      </c>
      <c r="K119" s="11">
        <f t="shared" si="44"/>
        <v>25</v>
      </c>
      <c r="L119" s="11" t="str">
        <f t="shared" si="45"/>
        <v>★★★★</v>
      </c>
      <c r="Q119" s="1" t="s">
        <v>262</v>
      </c>
      <c r="X119" s="1" t="s">
        <v>537</v>
      </c>
      <c r="Y119" s="1" t="s">
        <v>587</v>
      </c>
    </row>
    <row r="120" spans="2:26">
      <c r="F120" s="1" t="s">
        <v>289</v>
      </c>
      <c r="G120" s="3" t="s">
        <v>5</v>
      </c>
      <c r="H120" s="2">
        <f t="shared" si="63"/>
        <v>2</v>
      </c>
      <c r="I120" s="2">
        <f t="shared" si="64"/>
        <v>2</v>
      </c>
      <c r="J120" s="2" cm="1">
        <f t="array" ref="J120">MATCH(TRUE,M120:AA120&lt;&gt;"",0)-1</f>
        <v>5</v>
      </c>
      <c r="K120" s="11">
        <f t="shared" si="44"/>
        <v>8.3333333333333321</v>
      </c>
      <c r="L120" s="11" t="str">
        <f t="shared" si="45"/>
        <v>★★</v>
      </c>
      <c r="R120" s="1" t="s">
        <v>290</v>
      </c>
      <c r="Z120" s="1" t="s">
        <v>569</v>
      </c>
    </row>
    <row r="121" spans="2:26">
      <c r="F121" s="1" t="s">
        <v>335</v>
      </c>
      <c r="G121" s="3" t="s">
        <v>5</v>
      </c>
      <c r="H121" s="2">
        <f t="shared" ref="H121" si="71">COUNTA(M121:AP121)</f>
        <v>1</v>
      </c>
      <c r="I121" s="2">
        <f t="shared" ref="I121" si="72">COUNTA(N121:AQ121)</f>
        <v>1</v>
      </c>
      <c r="J121" s="2" cm="1">
        <f t="array" ref="J121">MATCH(TRUE,M121:AA121&lt;&gt;"",0)-1</f>
        <v>6</v>
      </c>
      <c r="K121" s="11">
        <f t="shared" si="44"/>
        <v>8.3333333333333321</v>
      </c>
      <c r="L121" s="11" t="str">
        <f t="shared" si="45"/>
        <v>★★</v>
      </c>
      <c r="S121" s="1" t="s">
        <v>336</v>
      </c>
    </row>
    <row r="122" spans="2:26">
      <c r="F122" s="1" t="s">
        <v>571</v>
      </c>
      <c r="G122" s="3" t="s">
        <v>5</v>
      </c>
      <c r="H122" s="2">
        <f t="shared" ref="H122" si="73">COUNTA(M122:AP122)</f>
        <v>1</v>
      </c>
      <c r="I122" s="2">
        <f t="shared" ref="I122" si="74">COUNTA(N122:AQ122)</f>
        <v>1</v>
      </c>
      <c r="J122" s="2" cm="1">
        <f t="array" ref="J122">MATCH(TRUE,M122:AA122&lt;&gt;"",0)-1</f>
        <v>12</v>
      </c>
      <c r="K122" s="11">
        <f t="shared" si="44"/>
        <v>8.3333333333333321</v>
      </c>
      <c r="L122" s="11" t="str">
        <f t="shared" si="45"/>
        <v>★★</v>
      </c>
      <c r="Y122" s="1" t="s">
        <v>570</v>
      </c>
    </row>
    <row r="123" spans="2:26">
      <c r="B123" s="1" t="s">
        <v>8</v>
      </c>
      <c r="C123" s="1" t="s">
        <v>131</v>
      </c>
      <c r="E123" s="2">
        <f>SUM(H123:H124)</f>
        <v>4</v>
      </c>
      <c r="F123" s="1" t="s">
        <v>106</v>
      </c>
      <c r="G123" s="3" t="s">
        <v>5</v>
      </c>
      <c r="H123" s="2">
        <f t="shared" si="63"/>
        <v>2</v>
      </c>
      <c r="I123" s="2">
        <f t="shared" si="64"/>
        <v>2</v>
      </c>
      <c r="J123" s="2" cm="1">
        <f t="array" ref="J123">MATCH(TRUE,M123:AA123&lt;&gt;"",0)-1</f>
        <v>1</v>
      </c>
      <c r="K123" s="11">
        <f t="shared" si="44"/>
        <v>16.666666666666664</v>
      </c>
      <c r="L123" s="11" t="str">
        <f t="shared" si="45"/>
        <v>★★★</v>
      </c>
      <c r="N123" s="1" t="s">
        <v>47</v>
      </c>
      <c r="R123" s="1" t="s">
        <v>262</v>
      </c>
    </row>
    <row r="124" spans="2:26">
      <c r="F124" s="16" t="s">
        <v>201</v>
      </c>
      <c r="G124" s="4" t="s">
        <v>6</v>
      </c>
      <c r="H124" s="2">
        <f t="shared" si="63"/>
        <v>2</v>
      </c>
      <c r="I124" s="2">
        <f t="shared" si="64"/>
        <v>2</v>
      </c>
      <c r="J124" s="2" cm="1">
        <f t="array" ref="J124">MATCH(TRUE,M124:AA124&lt;&gt;"",0)-1</f>
        <v>3</v>
      </c>
      <c r="K124" s="11">
        <f t="shared" si="44"/>
        <v>16.666666666666664</v>
      </c>
      <c r="L124" s="11" t="str">
        <f t="shared" si="45"/>
        <v>★★★</v>
      </c>
      <c r="P124" s="1" t="s">
        <v>63</v>
      </c>
      <c r="Y124" s="1" t="s">
        <v>568</v>
      </c>
    </row>
    <row r="125" spans="2:26">
      <c r="C125" s="1" t="s">
        <v>130</v>
      </c>
      <c r="E125" s="2">
        <f>SUM(H125:H129)</f>
        <v>12</v>
      </c>
      <c r="F125" s="1" t="s">
        <v>103</v>
      </c>
      <c r="G125" s="3" t="s">
        <v>5</v>
      </c>
      <c r="H125" s="2">
        <f t="shared" si="63"/>
        <v>2</v>
      </c>
      <c r="I125" s="2">
        <f t="shared" si="64"/>
        <v>2</v>
      </c>
      <c r="J125" s="2" cm="1">
        <f t="array" ref="J125">MATCH(TRUE,M125:AA125&lt;&gt;"",0)-1</f>
        <v>1</v>
      </c>
      <c r="K125" s="11">
        <f t="shared" si="44"/>
        <v>16.666666666666664</v>
      </c>
      <c r="L125" s="11" t="str">
        <f t="shared" si="45"/>
        <v>★★★</v>
      </c>
      <c r="N125" s="1" t="s">
        <v>28</v>
      </c>
      <c r="V125" s="1" t="s">
        <v>467</v>
      </c>
    </row>
    <row r="126" spans="2:26">
      <c r="F126" s="1" t="s">
        <v>184</v>
      </c>
      <c r="G126" s="3" t="s">
        <v>5</v>
      </c>
      <c r="H126" s="2">
        <f t="shared" si="63"/>
        <v>2</v>
      </c>
      <c r="I126" s="2">
        <f t="shared" si="64"/>
        <v>2</v>
      </c>
      <c r="J126" s="2" cm="1">
        <f t="array" ref="J126">MATCH(TRUE,M126:AA126&lt;&gt;"",0)-1</f>
        <v>2</v>
      </c>
      <c r="K126" s="11">
        <f t="shared" si="44"/>
        <v>16.666666666666664</v>
      </c>
      <c r="L126" s="11" t="str">
        <f t="shared" si="45"/>
        <v>★★★</v>
      </c>
      <c r="O126" s="1" t="s">
        <v>61</v>
      </c>
      <c r="R126" s="1" t="s">
        <v>280</v>
      </c>
    </row>
    <row r="127" spans="2:26">
      <c r="F127" s="1" t="s">
        <v>204</v>
      </c>
      <c r="G127" s="3" t="s">
        <v>5</v>
      </c>
      <c r="H127" s="2">
        <f t="shared" si="63"/>
        <v>2</v>
      </c>
      <c r="I127" s="2">
        <f t="shared" si="64"/>
        <v>2</v>
      </c>
      <c r="J127" s="2" cm="1">
        <f t="array" ref="J127">MATCH(TRUE,M127:AA127&lt;&gt;"",0)-1</f>
        <v>3</v>
      </c>
      <c r="K127" s="11">
        <f t="shared" si="44"/>
        <v>16.666666666666664</v>
      </c>
      <c r="L127" s="11" t="str">
        <f t="shared" si="45"/>
        <v>★★★</v>
      </c>
      <c r="P127" s="1" t="s">
        <v>71</v>
      </c>
      <c r="S127" s="1" t="s">
        <v>337</v>
      </c>
    </row>
    <row r="128" spans="2:26">
      <c r="F128" s="1" t="s">
        <v>503</v>
      </c>
      <c r="G128" s="5" t="s">
        <v>84</v>
      </c>
      <c r="H128" s="2">
        <f t="shared" si="63"/>
        <v>4</v>
      </c>
      <c r="I128" s="2">
        <f t="shared" si="64"/>
        <v>3</v>
      </c>
      <c r="J128" s="2" cm="1">
        <f t="array" ref="J128">MATCH(TRUE,M128:AA128&lt;&gt;"",0)-1</f>
        <v>0</v>
      </c>
      <c r="K128" s="11">
        <f t="shared" si="44"/>
        <v>16.666666666666664</v>
      </c>
      <c r="L128" s="11" t="str">
        <f t="shared" si="45"/>
        <v>★★★</v>
      </c>
      <c r="M128" s="1" t="s">
        <v>129</v>
      </c>
      <c r="U128" s="1" t="s">
        <v>412</v>
      </c>
      <c r="W128" s="1" t="s">
        <v>502</v>
      </c>
      <c r="Z128" s="1" t="s">
        <v>564</v>
      </c>
    </row>
    <row r="129" spans="2:26">
      <c r="F129" s="1" t="s">
        <v>234</v>
      </c>
      <c r="G129" s="3" t="s">
        <v>5</v>
      </c>
      <c r="H129" s="2">
        <f t="shared" si="63"/>
        <v>2</v>
      </c>
      <c r="I129" s="2">
        <f t="shared" si="64"/>
        <v>2</v>
      </c>
      <c r="J129" s="2" cm="1">
        <f t="array" ref="J129">MATCH(TRUE,M129:AA129&lt;&gt;"",0)-1</f>
        <v>4</v>
      </c>
      <c r="K129" s="11">
        <f t="shared" si="44"/>
        <v>16.666666666666664</v>
      </c>
      <c r="L129" s="11" t="str">
        <f t="shared" si="45"/>
        <v>★★★</v>
      </c>
      <c r="Q129" s="1" t="s">
        <v>63</v>
      </c>
      <c r="T129" s="1" t="s">
        <v>396</v>
      </c>
    </row>
    <row r="130" spans="2:26">
      <c r="F130" s="1" t="s">
        <v>543</v>
      </c>
      <c r="G130" s="3" t="s">
        <v>5</v>
      </c>
      <c r="H130" s="2">
        <f t="shared" ref="H130" si="75">COUNTA(M130:AP130)</f>
        <v>1</v>
      </c>
      <c r="I130" s="2">
        <f t="shared" ref="I130" si="76">COUNTA(N130:AQ130)</f>
        <v>1</v>
      </c>
      <c r="J130" s="2" cm="1">
        <f t="array" ref="J130">MATCH(TRUE,M130:AA130&lt;&gt;"",0)-1</f>
        <v>11</v>
      </c>
      <c r="K130" s="11">
        <f t="shared" si="44"/>
        <v>8.3333333333333321</v>
      </c>
      <c r="L130" s="11" t="str">
        <f t="shared" si="45"/>
        <v>★★</v>
      </c>
      <c r="X130" s="1" t="s">
        <v>513</v>
      </c>
    </row>
    <row r="131" spans="2:26">
      <c r="C131" s="1" t="s">
        <v>291</v>
      </c>
      <c r="E131" s="2">
        <f>SUM(H131:H132)</f>
        <v>2</v>
      </c>
      <c r="F131" s="1" t="s">
        <v>263</v>
      </c>
      <c r="G131" s="3" t="s">
        <v>5</v>
      </c>
      <c r="H131" s="2">
        <f t="shared" si="63"/>
        <v>1</v>
      </c>
      <c r="I131" s="2">
        <f t="shared" si="64"/>
        <v>1</v>
      </c>
      <c r="J131" s="2" cm="1">
        <f t="array" ref="J131">MATCH(TRUE,M131:AA131&lt;&gt;"",0)-1</f>
        <v>4</v>
      </c>
      <c r="K131" s="11">
        <f t="shared" ref="K131:K194" si="77">COUNTA(N131:Y131)/COUNTA($N$1:$Y$1)*100</f>
        <v>8.3333333333333321</v>
      </c>
      <c r="L131" s="11" t="str">
        <f t="shared" ref="L131:L194" si="78">IF(K131&gt;=33,"★★★★★",IF(K131&gt;=25,"★★★★",IF(K131&gt;=15,"★★★",IF(K131&gt;=5,"★★","★"))))</f>
        <v>★★</v>
      </c>
      <c r="Q131" s="1" t="s">
        <v>264</v>
      </c>
    </row>
    <row r="132" spans="2:26">
      <c r="F132" s="1" t="s">
        <v>293</v>
      </c>
      <c r="G132" s="3" t="s">
        <v>5</v>
      </c>
      <c r="H132" s="2">
        <f t="shared" si="63"/>
        <v>1</v>
      </c>
      <c r="I132" s="2">
        <f t="shared" si="64"/>
        <v>1</v>
      </c>
      <c r="J132" s="2" cm="1">
        <f t="array" ref="J132">MATCH(TRUE,M132:AA132&lt;&gt;"",0)-1</f>
        <v>5</v>
      </c>
      <c r="K132" s="11">
        <f t="shared" si="77"/>
        <v>8.3333333333333321</v>
      </c>
      <c r="L132" s="11" t="str">
        <f t="shared" si="78"/>
        <v>★★</v>
      </c>
      <c r="R132" s="1" t="s">
        <v>292</v>
      </c>
    </row>
    <row r="133" spans="2:26">
      <c r="F133" s="1" t="s">
        <v>530</v>
      </c>
      <c r="G133" s="3" t="s">
        <v>5</v>
      </c>
      <c r="H133" s="2">
        <f t="shared" ref="H133" si="79">COUNTA(M133:AP133)</f>
        <v>1</v>
      </c>
      <c r="I133" s="2">
        <f t="shared" ref="I133" si="80">COUNTA(N133:AQ133)</f>
        <v>1</v>
      </c>
      <c r="J133" s="2" cm="1">
        <f t="array" ref="J133">MATCH(TRUE,M133:AA133&lt;&gt;"",0)-1</f>
        <v>10</v>
      </c>
      <c r="K133" s="11">
        <f t="shared" si="77"/>
        <v>8.3333333333333321</v>
      </c>
      <c r="L133" s="11" t="str">
        <f t="shared" si="78"/>
        <v>★★</v>
      </c>
      <c r="W133" s="1" t="s">
        <v>531</v>
      </c>
    </row>
    <row r="134" spans="2:26">
      <c r="B134" s="1" t="s">
        <v>9</v>
      </c>
      <c r="E134" s="2">
        <f>SUM(H134:H138)</f>
        <v>11</v>
      </c>
      <c r="F134" s="1" t="s">
        <v>104</v>
      </c>
      <c r="G134" s="3" t="s">
        <v>5</v>
      </c>
      <c r="H134" s="2">
        <f t="shared" si="63"/>
        <v>3</v>
      </c>
      <c r="I134" s="2">
        <f t="shared" si="64"/>
        <v>3</v>
      </c>
      <c r="J134" s="2" cm="1">
        <f t="array" ref="J134">MATCH(TRUE,M134:AA134&lt;&gt;"",0)-1</f>
        <v>1</v>
      </c>
      <c r="K134" s="11">
        <f t="shared" si="77"/>
        <v>25</v>
      </c>
      <c r="L134" s="11" t="str">
        <f t="shared" si="78"/>
        <v>★★★★</v>
      </c>
      <c r="N134" s="1" t="s">
        <v>29</v>
      </c>
      <c r="R134" s="1" t="s">
        <v>294</v>
      </c>
      <c r="V134" s="1" t="s">
        <v>477</v>
      </c>
    </row>
    <row r="135" spans="2:26">
      <c r="F135" s="1" t="s">
        <v>74</v>
      </c>
      <c r="G135" s="3" t="s">
        <v>5</v>
      </c>
      <c r="H135" s="2">
        <f t="shared" si="63"/>
        <v>1</v>
      </c>
      <c r="I135" s="2">
        <f t="shared" si="64"/>
        <v>1</v>
      </c>
      <c r="J135" s="2" cm="1">
        <f t="array" ref="J135">MATCH(TRUE,M135:AA135&lt;&gt;"",0)-1</f>
        <v>2</v>
      </c>
      <c r="K135" s="11">
        <f t="shared" si="77"/>
        <v>8.3333333333333321</v>
      </c>
      <c r="L135" s="11" t="str">
        <f t="shared" si="78"/>
        <v>★★</v>
      </c>
      <c r="O135" s="1" t="s">
        <v>33</v>
      </c>
    </row>
    <row r="136" spans="2:26">
      <c r="F136" s="1" t="s">
        <v>341</v>
      </c>
      <c r="G136" s="3" t="s">
        <v>5</v>
      </c>
      <c r="H136" s="2">
        <f t="shared" si="63"/>
        <v>1</v>
      </c>
      <c r="I136" s="2">
        <f t="shared" si="64"/>
        <v>1</v>
      </c>
      <c r="J136" s="2" cm="1">
        <f t="array" ref="J136">MATCH(TRUE,M136:AA136&lt;&gt;"",0)-1</f>
        <v>6</v>
      </c>
      <c r="K136" s="11">
        <f t="shared" si="77"/>
        <v>8.3333333333333321</v>
      </c>
      <c r="L136" s="11" t="str">
        <f t="shared" si="78"/>
        <v>★★</v>
      </c>
      <c r="S136" s="1" t="s">
        <v>342</v>
      </c>
    </row>
    <row r="137" spans="2:26">
      <c r="F137" s="1" t="s">
        <v>142</v>
      </c>
      <c r="G137" s="3" t="s">
        <v>5</v>
      </c>
      <c r="H137" s="2">
        <f t="shared" si="63"/>
        <v>4</v>
      </c>
      <c r="I137" s="2">
        <f t="shared" si="64"/>
        <v>3</v>
      </c>
      <c r="J137" s="2" cm="1">
        <f t="array" ref="J137">MATCH(TRUE,M137:AA137&lt;&gt;"",0)-1</f>
        <v>0</v>
      </c>
      <c r="K137" s="11">
        <f t="shared" si="77"/>
        <v>16.666666666666664</v>
      </c>
      <c r="L137" s="11" t="str">
        <f t="shared" si="78"/>
        <v>★★★</v>
      </c>
      <c r="M137" s="1" t="s">
        <v>143</v>
      </c>
      <c r="P137" s="1" t="s">
        <v>33</v>
      </c>
      <c r="W137" s="1" t="s">
        <v>518</v>
      </c>
      <c r="Z137" s="1" t="s">
        <v>573</v>
      </c>
    </row>
    <row r="138" spans="2:26">
      <c r="F138" s="1" t="s">
        <v>244</v>
      </c>
      <c r="G138" s="3" t="s">
        <v>5</v>
      </c>
      <c r="H138" s="2">
        <f t="shared" si="63"/>
        <v>2</v>
      </c>
      <c r="I138" s="2">
        <f t="shared" si="64"/>
        <v>2</v>
      </c>
      <c r="J138" s="2" cm="1">
        <f t="array" ref="J138">MATCH(TRUE,M138:AA138&lt;&gt;"",0)-1</f>
        <v>4</v>
      </c>
      <c r="K138" s="11">
        <f t="shared" si="77"/>
        <v>16.666666666666664</v>
      </c>
      <c r="L138" s="11" t="str">
        <f t="shared" si="78"/>
        <v>★★★</v>
      </c>
      <c r="Q138" s="1" t="s">
        <v>245</v>
      </c>
      <c r="X138" s="1" t="s">
        <v>518</v>
      </c>
    </row>
    <row r="139" spans="2:26">
      <c r="B139" s="1" t="s">
        <v>10</v>
      </c>
      <c r="C139" s="1" t="s">
        <v>144</v>
      </c>
      <c r="E139" s="2">
        <f>SUM(H139:H143)</f>
        <v>9</v>
      </c>
      <c r="F139" s="1" t="s">
        <v>151</v>
      </c>
      <c r="G139" s="4" t="s">
        <v>6</v>
      </c>
      <c r="H139" s="2">
        <f t="shared" si="63"/>
        <v>2</v>
      </c>
      <c r="I139" s="2">
        <f t="shared" si="64"/>
        <v>2</v>
      </c>
      <c r="J139" s="2" cm="1">
        <f t="array" ref="J139">MATCH(TRUE,M139:AA139&lt;&gt;"",0)-1</f>
        <v>1</v>
      </c>
      <c r="K139" s="11">
        <f t="shared" si="77"/>
        <v>16.666666666666664</v>
      </c>
      <c r="L139" s="11" t="str">
        <f t="shared" si="78"/>
        <v>★★★</v>
      </c>
      <c r="N139" s="1" t="s">
        <v>30</v>
      </c>
      <c r="Q139" s="1" t="s">
        <v>242</v>
      </c>
    </row>
    <row r="140" spans="2:26">
      <c r="F140" s="1" t="s">
        <v>152</v>
      </c>
      <c r="G140" s="5" t="s">
        <v>84</v>
      </c>
      <c r="H140" s="2">
        <f t="shared" si="63"/>
        <v>3</v>
      </c>
      <c r="I140" s="2">
        <f t="shared" si="64"/>
        <v>2</v>
      </c>
      <c r="J140" s="2" cm="1">
        <f t="array" ref="J140">MATCH(TRUE,M140:AA140&lt;&gt;"",0)-1</f>
        <v>0</v>
      </c>
      <c r="K140" s="11">
        <f t="shared" si="77"/>
        <v>8.3333333333333321</v>
      </c>
      <c r="L140" s="11" t="str">
        <f t="shared" si="78"/>
        <v>★★</v>
      </c>
      <c r="M140" s="1" t="s">
        <v>149</v>
      </c>
      <c r="O140" s="1" t="s">
        <v>72</v>
      </c>
      <c r="Z140" s="1" t="s">
        <v>589</v>
      </c>
    </row>
    <row r="141" spans="2:26">
      <c r="F141" s="1" t="s">
        <v>153</v>
      </c>
      <c r="G141" s="3" t="s">
        <v>5</v>
      </c>
      <c r="H141" s="2">
        <f t="shared" si="63"/>
        <v>2</v>
      </c>
      <c r="I141" s="2">
        <f t="shared" si="64"/>
        <v>2</v>
      </c>
      <c r="J141" s="2" cm="1">
        <f t="array" ref="J141">MATCH(TRUE,M141:AA141&lt;&gt;"",0)-1</f>
        <v>3</v>
      </c>
      <c r="K141" s="11">
        <f t="shared" si="77"/>
        <v>16.666666666666664</v>
      </c>
      <c r="L141" s="11" t="str">
        <f t="shared" si="78"/>
        <v>★★★</v>
      </c>
      <c r="P141" s="1" t="s">
        <v>72</v>
      </c>
      <c r="S141" s="1" t="s">
        <v>338</v>
      </c>
    </row>
    <row r="142" spans="2:26">
      <c r="F142" s="1" t="s">
        <v>475</v>
      </c>
      <c r="G142" s="3" t="s">
        <v>5</v>
      </c>
      <c r="H142" s="2">
        <f t="shared" ref="H142" si="81">COUNTA(M142:AP142)</f>
        <v>1</v>
      </c>
      <c r="I142" s="2">
        <f t="shared" ref="I142" si="82">COUNTA(N142:AQ142)</f>
        <v>1</v>
      </c>
      <c r="J142" s="2" cm="1">
        <f t="array" ref="J142">MATCH(TRUE,M142:AA142&lt;&gt;"",0)-1</f>
        <v>9</v>
      </c>
      <c r="K142" s="11">
        <f t="shared" si="77"/>
        <v>8.3333333333333321</v>
      </c>
      <c r="L142" s="11" t="str">
        <f t="shared" si="78"/>
        <v>★★</v>
      </c>
      <c r="V142" s="1" t="s">
        <v>474</v>
      </c>
    </row>
    <row r="143" spans="2:26">
      <c r="F143" s="1" t="s">
        <v>383</v>
      </c>
      <c r="G143" s="4" t="s">
        <v>6</v>
      </c>
      <c r="H143" s="2">
        <f t="shared" ref="H143" si="83">COUNTA(M143:AP143)</f>
        <v>1</v>
      </c>
      <c r="I143" s="2">
        <f t="shared" ref="I143" si="84">COUNTA(N143:AQ143)</f>
        <v>1</v>
      </c>
      <c r="J143" s="2" cm="1">
        <f t="array" ref="J143">MATCH(TRUE,M143:AA143&lt;&gt;"",0)-1</f>
        <v>7</v>
      </c>
      <c r="K143" s="11">
        <f t="shared" si="77"/>
        <v>8.3333333333333321</v>
      </c>
      <c r="L143" s="11" t="str">
        <f t="shared" si="78"/>
        <v>★★</v>
      </c>
      <c r="T143" s="1" t="s">
        <v>384</v>
      </c>
    </row>
    <row r="144" spans="2:26">
      <c r="C144" s="1" t="s">
        <v>145</v>
      </c>
      <c r="E144" s="2">
        <f>SUM(H144:H148)</f>
        <v>11</v>
      </c>
      <c r="F144" s="1" t="s">
        <v>107</v>
      </c>
      <c r="G144" s="3" t="s">
        <v>5</v>
      </c>
      <c r="H144" s="2">
        <f t="shared" si="63"/>
        <v>3</v>
      </c>
      <c r="I144" s="2">
        <f t="shared" si="64"/>
        <v>3</v>
      </c>
      <c r="J144" s="2" cm="1">
        <f t="array" ref="J144">MATCH(TRUE,M144:AA144&lt;&gt;"",0)-1</f>
        <v>1</v>
      </c>
      <c r="K144" s="11">
        <f t="shared" si="77"/>
        <v>25</v>
      </c>
      <c r="L144" s="11" t="str">
        <f t="shared" si="78"/>
        <v>★★★★</v>
      </c>
      <c r="N144" s="1" t="s">
        <v>49</v>
      </c>
      <c r="T144" s="1" t="s">
        <v>385</v>
      </c>
      <c r="Y144" s="1" t="s">
        <v>588</v>
      </c>
    </row>
    <row r="145" spans="1:26">
      <c r="F145" s="1" t="s">
        <v>297</v>
      </c>
      <c r="G145" s="4" t="s">
        <v>6</v>
      </c>
      <c r="H145" s="2">
        <f t="shared" si="63"/>
        <v>3</v>
      </c>
      <c r="I145" s="2">
        <f t="shared" si="64"/>
        <v>3</v>
      </c>
      <c r="J145" s="2" cm="1">
        <f t="array" ref="J145">MATCH(TRUE,M145:AA145&lt;&gt;"",0)-1</f>
        <v>2</v>
      </c>
      <c r="K145" s="11">
        <f t="shared" si="77"/>
        <v>16.666666666666664</v>
      </c>
      <c r="L145" s="11" t="str">
        <f t="shared" si="78"/>
        <v>★★★</v>
      </c>
      <c r="O145" s="1" t="s">
        <v>73</v>
      </c>
      <c r="V145" s="1" t="s">
        <v>473</v>
      </c>
      <c r="Z145" s="1" t="s">
        <v>572</v>
      </c>
    </row>
    <row r="146" spans="1:26">
      <c r="F146" s="1" t="s">
        <v>295</v>
      </c>
      <c r="G146" s="4" t="s">
        <v>6</v>
      </c>
      <c r="H146" s="2">
        <f t="shared" si="63"/>
        <v>1</v>
      </c>
      <c r="I146" s="2">
        <f t="shared" si="64"/>
        <v>1</v>
      </c>
      <c r="J146" s="2" cm="1">
        <f t="array" ref="J146">MATCH(TRUE,M146:AA146&lt;&gt;"",0)-1</f>
        <v>5</v>
      </c>
      <c r="K146" s="11">
        <f t="shared" si="77"/>
        <v>8.3333333333333321</v>
      </c>
      <c r="L146" s="11" t="str">
        <f t="shared" si="78"/>
        <v>★★</v>
      </c>
      <c r="R146" s="1" t="s">
        <v>296</v>
      </c>
    </row>
    <row r="147" spans="1:26">
      <c r="F147" s="1" t="s">
        <v>421</v>
      </c>
      <c r="G147" s="4" t="s">
        <v>6</v>
      </c>
      <c r="H147" s="2">
        <f t="shared" ref="H147" si="85">COUNTA(M147:AP147)</f>
        <v>2</v>
      </c>
      <c r="I147" s="2">
        <f t="shared" ref="I147" si="86">COUNTA(N147:AQ147)</f>
        <v>2</v>
      </c>
      <c r="J147" s="2" cm="1">
        <f t="array" ref="J147">MATCH(TRUE,M147:AA147&lt;&gt;"",0)-1</f>
        <v>8</v>
      </c>
      <c r="K147" s="11">
        <f t="shared" si="77"/>
        <v>16.666666666666664</v>
      </c>
      <c r="L147" s="11" t="str">
        <f t="shared" si="78"/>
        <v>★★★</v>
      </c>
      <c r="U147" s="1" t="s">
        <v>422</v>
      </c>
      <c r="X147" s="1" t="s">
        <v>519</v>
      </c>
    </row>
    <row r="148" spans="1:26">
      <c r="F148" s="1" t="s">
        <v>205</v>
      </c>
      <c r="G148" s="4" t="s">
        <v>6</v>
      </c>
      <c r="H148" s="2">
        <f t="shared" si="63"/>
        <v>2</v>
      </c>
      <c r="I148" s="2">
        <f t="shared" si="64"/>
        <v>2</v>
      </c>
      <c r="J148" s="2" cm="1">
        <f t="array" ref="J148">MATCH(TRUE,M148:AA148&lt;&gt;"",0)-1</f>
        <v>3</v>
      </c>
      <c r="K148" s="11">
        <f t="shared" si="77"/>
        <v>16.666666666666664</v>
      </c>
      <c r="L148" s="11" t="str">
        <f t="shared" si="78"/>
        <v>★★★</v>
      </c>
      <c r="P148" s="1" t="s">
        <v>73</v>
      </c>
      <c r="Y148" s="1" t="s">
        <v>573</v>
      </c>
    </row>
    <row r="149" spans="1:26">
      <c r="C149" s="1" t="s">
        <v>146</v>
      </c>
      <c r="E149" s="2">
        <f>SUM(H149:H152)</f>
        <v>10</v>
      </c>
      <c r="F149" s="1" t="s">
        <v>150</v>
      </c>
      <c r="G149" s="3" t="s">
        <v>5</v>
      </c>
      <c r="H149" s="2">
        <f t="shared" si="63"/>
        <v>2</v>
      </c>
      <c r="I149" s="2">
        <f t="shared" si="64"/>
        <v>1</v>
      </c>
      <c r="J149" s="2" cm="1">
        <f t="array" ref="J149">MATCH(TRUE,M149:AA149&lt;&gt;"",0)-1</f>
        <v>0</v>
      </c>
      <c r="K149" s="11">
        <f t="shared" si="77"/>
        <v>8.3333333333333321</v>
      </c>
      <c r="L149" s="11" t="str">
        <f t="shared" si="78"/>
        <v>★★</v>
      </c>
      <c r="M149" s="1" t="s">
        <v>147</v>
      </c>
      <c r="X149" s="1" t="s">
        <v>520</v>
      </c>
    </row>
    <row r="150" spans="1:26">
      <c r="F150" s="1" t="s">
        <v>240</v>
      </c>
      <c r="G150" s="3" t="s">
        <v>5</v>
      </c>
      <c r="H150" s="2">
        <f t="shared" si="63"/>
        <v>3</v>
      </c>
      <c r="I150" s="2">
        <f t="shared" si="64"/>
        <v>3</v>
      </c>
      <c r="J150" s="2" cm="1">
        <f t="array" ref="J150">MATCH(TRUE,M150:AA150&lt;&gt;"",0)-1</f>
        <v>4</v>
      </c>
      <c r="K150" s="11">
        <f t="shared" si="77"/>
        <v>25</v>
      </c>
      <c r="L150" s="11" t="str">
        <f t="shared" si="78"/>
        <v>★★★★</v>
      </c>
      <c r="Q150" s="1" t="s">
        <v>243</v>
      </c>
      <c r="T150" s="1" t="s">
        <v>386</v>
      </c>
      <c r="W150" s="1" t="s">
        <v>520</v>
      </c>
    </row>
    <row r="151" spans="1:26">
      <c r="F151" s="1" t="s">
        <v>298</v>
      </c>
      <c r="G151" s="3" t="s">
        <v>5</v>
      </c>
      <c r="H151" s="2">
        <f t="shared" si="63"/>
        <v>3</v>
      </c>
      <c r="I151" s="2">
        <f t="shared" si="64"/>
        <v>3</v>
      </c>
      <c r="J151" s="2" cm="1">
        <f t="array" ref="J151">MATCH(TRUE,M151:AA151&lt;&gt;"",0)-1</f>
        <v>5</v>
      </c>
      <c r="K151" s="11">
        <f t="shared" si="77"/>
        <v>25</v>
      </c>
      <c r="L151" s="11" t="str">
        <f t="shared" si="78"/>
        <v>★★★★</v>
      </c>
      <c r="R151" s="1" t="s">
        <v>299</v>
      </c>
      <c r="U151" s="1" t="s">
        <v>420</v>
      </c>
      <c r="Y151" s="1" t="s">
        <v>574</v>
      </c>
    </row>
    <row r="152" spans="1:26">
      <c r="F152" s="1" t="s">
        <v>339</v>
      </c>
      <c r="G152" s="4" t="s">
        <v>6</v>
      </c>
      <c r="H152" s="2">
        <f t="shared" ref="H152" si="87">COUNTA(M152:AP152)</f>
        <v>2</v>
      </c>
      <c r="I152" s="2">
        <f t="shared" ref="I152" si="88">COUNTA(N152:AQ152)</f>
        <v>2</v>
      </c>
      <c r="J152" s="2" cm="1">
        <f t="array" ref="J152">MATCH(TRUE,M152:AA152&lt;&gt;"",0)-1</f>
        <v>6</v>
      </c>
      <c r="K152" s="11">
        <f t="shared" si="77"/>
        <v>16.666666666666664</v>
      </c>
      <c r="L152" s="11" t="str">
        <f t="shared" si="78"/>
        <v>★★★</v>
      </c>
      <c r="S152" s="1" t="s">
        <v>340</v>
      </c>
      <c r="W152" s="1" t="s">
        <v>519</v>
      </c>
    </row>
    <row r="153" spans="1:26">
      <c r="A153" s="1" t="s">
        <v>31</v>
      </c>
      <c r="B153" s="1" t="s">
        <v>32</v>
      </c>
      <c r="C153" s="1" t="s">
        <v>256</v>
      </c>
      <c r="E153" s="2">
        <f>SUM(H153:H161)</f>
        <v>12</v>
      </c>
      <c r="F153" s="1" t="s">
        <v>155</v>
      </c>
      <c r="G153" s="3" t="s">
        <v>5</v>
      </c>
      <c r="H153" s="2">
        <f t="shared" si="63"/>
        <v>2</v>
      </c>
      <c r="I153" s="2">
        <f t="shared" si="64"/>
        <v>2</v>
      </c>
      <c r="J153" s="2" cm="1">
        <f t="array" ref="J153">MATCH(TRUE,M153:AA153&lt;&gt;"",0)-1</f>
        <v>1</v>
      </c>
      <c r="K153" s="11">
        <f t="shared" si="77"/>
        <v>16.666666666666664</v>
      </c>
      <c r="L153" s="11" t="str">
        <f t="shared" si="78"/>
        <v>★★★</v>
      </c>
      <c r="N153" s="1" t="s">
        <v>33</v>
      </c>
      <c r="U153" s="1" t="s">
        <v>423</v>
      </c>
    </row>
    <row r="154" spans="1:26">
      <c r="F154" s="1" t="s">
        <v>154</v>
      </c>
      <c r="G154" s="3" t="s">
        <v>5</v>
      </c>
      <c r="H154" s="2">
        <f t="shared" si="63"/>
        <v>1</v>
      </c>
      <c r="I154" s="2">
        <f t="shared" si="64"/>
        <v>0</v>
      </c>
      <c r="J154" s="2" cm="1">
        <f t="array" ref="J154">MATCH(TRUE,M154:AA154&lt;&gt;"",0)-1</f>
        <v>0</v>
      </c>
      <c r="K154" s="11">
        <f t="shared" si="77"/>
        <v>0</v>
      </c>
      <c r="L154" s="11" t="str">
        <f t="shared" si="78"/>
        <v>★</v>
      </c>
      <c r="M154" s="1" t="s">
        <v>148</v>
      </c>
    </row>
    <row r="155" spans="1:26">
      <c r="F155" s="1" t="s">
        <v>388</v>
      </c>
      <c r="G155" s="3" t="s">
        <v>5</v>
      </c>
      <c r="H155" s="2">
        <f t="shared" ref="H155" si="89">COUNTA(M155:AP155)</f>
        <v>1</v>
      </c>
      <c r="I155" s="2">
        <f t="shared" ref="I155" si="90">COUNTA(N155:AQ155)</f>
        <v>1</v>
      </c>
      <c r="J155" s="2" cm="1">
        <f t="array" ref="J155">MATCH(TRUE,M155:AA155&lt;&gt;"",0)-1</f>
        <v>7</v>
      </c>
      <c r="K155" s="11">
        <f t="shared" si="77"/>
        <v>8.3333333333333321</v>
      </c>
      <c r="L155" s="11" t="str">
        <f t="shared" si="78"/>
        <v>★★</v>
      </c>
      <c r="T155" s="1" t="s">
        <v>389</v>
      </c>
    </row>
    <row r="156" spans="1:26">
      <c r="F156" s="1" t="s">
        <v>188</v>
      </c>
      <c r="G156" s="4" t="s">
        <v>6</v>
      </c>
      <c r="H156" s="2">
        <f t="shared" si="63"/>
        <v>1</v>
      </c>
      <c r="I156" s="2">
        <f t="shared" si="64"/>
        <v>1</v>
      </c>
      <c r="J156" s="2" cm="1">
        <f t="array" ref="J156">MATCH(TRUE,M156:AA156&lt;&gt;"",0)-1</f>
        <v>2</v>
      </c>
      <c r="K156" s="11">
        <f t="shared" si="77"/>
        <v>8.3333333333333321</v>
      </c>
      <c r="L156" s="11" t="str">
        <f t="shared" si="78"/>
        <v>★★</v>
      </c>
      <c r="O156" s="1" t="s">
        <v>35</v>
      </c>
    </row>
    <row r="157" spans="1:26">
      <c r="F157" s="1" t="s">
        <v>105</v>
      </c>
      <c r="G157" s="4" t="s">
        <v>6</v>
      </c>
      <c r="H157" s="2">
        <f t="shared" si="63"/>
        <v>2</v>
      </c>
      <c r="I157" s="2">
        <f t="shared" si="64"/>
        <v>2</v>
      </c>
      <c r="J157" s="2" cm="1">
        <f t="array" ref="J157">MATCH(TRUE,M157:AA157&lt;&gt;"",0)-1</f>
        <v>1</v>
      </c>
      <c r="K157" s="11">
        <f t="shared" si="77"/>
        <v>16.666666666666664</v>
      </c>
      <c r="L157" s="11" t="str">
        <f t="shared" si="78"/>
        <v>★★★</v>
      </c>
      <c r="N157" s="1" t="s">
        <v>36</v>
      </c>
      <c r="R157" s="1" t="s">
        <v>304</v>
      </c>
    </row>
    <row r="158" spans="1:26">
      <c r="F158" s="1" t="s">
        <v>248</v>
      </c>
      <c r="G158" s="3" t="s">
        <v>5</v>
      </c>
      <c r="H158" s="2">
        <f t="shared" ref="H158:I162" si="91">COUNTA(M158:AP158)</f>
        <v>1</v>
      </c>
      <c r="I158" s="2">
        <f t="shared" si="91"/>
        <v>1</v>
      </c>
      <c r="J158" s="2" cm="1">
        <f t="array" ref="J158">MATCH(TRUE,M158:AA158&lt;&gt;"",0)-1</f>
        <v>4</v>
      </c>
      <c r="K158" s="11">
        <f t="shared" si="77"/>
        <v>8.3333333333333321</v>
      </c>
      <c r="L158" s="11" t="str">
        <f t="shared" si="78"/>
        <v>★★</v>
      </c>
      <c r="Q158" s="1" t="s">
        <v>35</v>
      </c>
    </row>
    <row r="159" spans="1:26">
      <c r="F159" s="1" t="s">
        <v>598</v>
      </c>
      <c r="G159" s="3" t="s">
        <v>5</v>
      </c>
      <c r="H159" s="2">
        <f t="shared" si="91"/>
        <v>1</v>
      </c>
      <c r="I159" s="2">
        <f t="shared" si="91"/>
        <v>1</v>
      </c>
      <c r="J159" s="2" cm="1">
        <f t="array" ref="J159">MATCH(TRUE,M159:AA159&lt;&gt;"",0)-1</f>
        <v>13</v>
      </c>
      <c r="K159" s="11">
        <f t="shared" si="77"/>
        <v>0</v>
      </c>
      <c r="L159" s="11" t="str">
        <f t="shared" si="78"/>
        <v>★</v>
      </c>
      <c r="Z159" s="1" t="s">
        <v>587</v>
      </c>
    </row>
    <row r="160" spans="1:26">
      <c r="F160" s="1" t="s">
        <v>206</v>
      </c>
      <c r="G160" s="3" t="s">
        <v>5</v>
      </c>
      <c r="H160" s="2">
        <f t="shared" si="91"/>
        <v>2</v>
      </c>
      <c r="I160" s="2">
        <f t="shared" si="91"/>
        <v>2</v>
      </c>
      <c r="J160" s="2" cm="1">
        <f t="array" ref="J160">MATCH(TRUE,M160:AA160&lt;&gt;"",0)-1</f>
        <v>3</v>
      </c>
      <c r="K160" s="11">
        <f t="shared" si="77"/>
        <v>16.666666666666664</v>
      </c>
      <c r="L160" s="11" t="str">
        <f t="shared" si="78"/>
        <v>★★★</v>
      </c>
      <c r="P160" s="1" t="s">
        <v>36</v>
      </c>
      <c r="S160" s="1" t="s">
        <v>343</v>
      </c>
    </row>
    <row r="161" spans="2:26">
      <c r="F161" s="1" t="s">
        <v>301</v>
      </c>
      <c r="G161" s="3" t="s">
        <v>5</v>
      </c>
      <c r="H161" s="2">
        <f t="shared" si="91"/>
        <v>1</v>
      </c>
      <c r="I161" s="2">
        <f t="shared" si="91"/>
        <v>1</v>
      </c>
      <c r="J161" s="2" cm="1">
        <f t="array" ref="J161">MATCH(TRUE,M161:AA161&lt;&gt;"",0)-1</f>
        <v>5</v>
      </c>
      <c r="K161" s="11">
        <f t="shared" si="77"/>
        <v>8.3333333333333321</v>
      </c>
      <c r="L161" s="11" t="str">
        <f t="shared" si="78"/>
        <v>★★</v>
      </c>
      <c r="R161" s="1" t="s">
        <v>300</v>
      </c>
    </row>
    <row r="162" spans="2:26">
      <c r="F162" s="1" t="s">
        <v>575</v>
      </c>
      <c r="G162" s="3" t="s">
        <v>5</v>
      </c>
      <c r="H162" s="2">
        <f t="shared" si="91"/>
        <v>1</v>
      </c>
      <c r="I162" s="2">
        <f t="shared" si="91"/>
        <v>1</v>
      </c>
      <c r="J162" s="2" cm="1">
        <f t="array" ref="J162">MATCH(TRUE,M162:AA162&lt;&gt;"",0)-1</f>
        <v>12</v>
      </c>
      <c r="K162" s="11">
        <f t="shared" si="77"/>
        <v>8.3333333333333321</v>
      </c>
      <c r="L162" s="11" t="str">
        <f t="shared" si="78"/>
        <v>★★</v>
      </c>
      <c r="Y162" s="1" t="s">
        <v>576</v>
      </c>
    </row>
    <row r="163" spans="2:26">
      <c r="C163" s="1" t="s">
        <v>246</v>
      </c>
      <c r="E163" s="2">
        <f>SUM(H163:H166)</f>
        <v>6</v>
      </c>
      <c r="F163" s="1" t="s">
        <v>162</v>
      </c>
      <c r="G163" s="4" t="s">
        <v>6</v>
      </c>
      <c r="H163" s="2">
        <f t="shared" ref="H163:H217" si="92">COUNTA(M163:AP163)</f>
        <v>2</v>
      </c>
      <c r="I163" s="2">
        <f t="shared" ref="I163:I217" si="93">COUNTA(N163:AQ163)</f>
        <v>1</v>
      </c>
      <c r="J163" s="2" cm="1">
        <f t="array" ref="J163">MATCH(TRUE,M163:AA163&lt;&gt;"",0)-1</f>
        <v>0</v>
      </c>
      <c r="K163" s="11">
        <f t="shared" si="77"/>
        <v>8.3333333333333321</v>
      </c>
      <c r="L163" s="11" t="str">
        <f t="shared" si="78"/>
        <v>★★</v>
      </c>
      <c r="M163" s="1" t="s">
        <v>163</v>
      </c>
      <c r="Y163" s="1" t="s">
        <v>577</v>
      </c>
    </row>
    <row r="164" spans="2:26">
      <c r="F164" s="1" t="s">
        <v>247</v>
      </c>
      <c r="G164" s="4" t="s">
        <v>6</v>
      </c>
      <c r="H164" s="2">
        <f t="shared" si="92"/>
        <v>1</v>
      </c>
      <c r="I164" s="2">
        <f t="shared" si="93"/>
        <v>1</v>
      </c>
      <c r="J164" s="2" cm="1">
        <f t="array" ref="J164">MATCH(TRUE,M164:AA164&lt;&gt;"",0)-1</f>
        <v>4</v>
      </c>
      <c r="K164" s="11">
        <f t="shared" si="77"/>
        <v>8.3333333333333321</v>
      </c>
      <c r="L164" s="11" t="str">
        <f t="shared" si="78"/>
        <v>★★</v>
      </c>
      <c r="Q164" s="1" t="s">
        <v>241</v>
      </c>
    </row>
    <row r="165" spans="2:26">
      <c r="F165" s="1" t="s">
        <v>544</v>
      </c>
      <c r="G165" s="4" t="s">
        <v>6</v>
      </c>
      <c r="H165" s="2">
        <f t="shared" ref="H165" si="94">COUNTA(M165:AP165)</f>
        <v>1</v>
      </c>
      <c r="I165" s="2">
        <f t="shared" ref="I165" si="95">COUNTA(N165:AQ165)</f>
        <v>1</v>
      </c>
      <c r="J165" s="2" cm="1">
        <f t="array" ref="J165">MATCH(TRUE,M165:AA165&lt;&gt;"",0)-1</f>
        <v>11</v>
      </c>
      <c r="K165" s="11">
        <f t="shared" si="77"/>
        <v>8.3333333333333321</v>
      </c>
      <c r="L165" s="11" t="str">
        <f t="shared" si="78"/>
        <v>★★</v>
      </c>
      <c r="X165" s="1" t="s">
        <v>522</v>
      </c>
    </row>
    <row r="166" spans="2:26">
      <c r="F166" s="1" t="s">
        <v>434</v>
      </c>
      <c r="G166" s="3" t="s">
        <v>5</v>
      </c>
      <c r="H166" s="2">
        <f t="shared" si="92"/>
        <v>2</v>
      </c>
      <c r="I166" s="2">
        <f t="shared" si="93"/>
        <v>2</v>
      </c>
      <c r="J166" s="2" cm="1">
        <f t="array" ref="J166">MATCH(TRUE,M166:AA166&lt;&gt;"",0)-1</f>
        <v>8</v>
      </c>
      <c r="K166" s="11">
        <f t="shared" si="77"/>
        <v>8.3333333333333321</v>
      </c>
      <c r="L166" s="11" t="str">
        <f t="shared" si="78"/>
        <v>★★</v>
      </c>
      <c r="U166" s="1" t="s">
        <v>435</v>
      </c>
      <c r="Z166" s="1" t="s">
        <v>576</v>
      </c>
    </row>
    <row r="167" spans="2:26">
      <c r="F167" s="1" t="s">
        <v>490</v>
      </c>
      <c r="G167" s="3" t="s">
        <v>5</v>
      </c>
      <c r="H167" s="2">
        <f t="shared" ref="H167" si="96">COUNTA(M167:AP167)</f>
        <v>1</v>
      </c>
      <c r="I167" s="2">
        <f t="shared" ref="I167" si="97">COUNTA(N167:AQ167)</f>
        <v>1</v>
      </c>
      <c r="J167" s="2" cm="1">
        <f t="array" ref="J167">MATCH(TRUE,M167:AA167&lt;&gt;"",0)-1</f>
        <v>9</v>
      </c>
      <c r="K167" s="11">
        <f t="shared" si="77"/>
        <v>8.3333333333333321</v>
      </c>
      <c r="L167" s="11" t="str">
        <f t="shared" si="78"/>
        <v>★★</v>
      </c>
      <c r="V167" s="1" t="s">
        <v>491</v>
      </c>
    </row>
    <row r="168" spans="2:26">
      <c r="F168" s="1" t="s">
        <v>536</v>
      </c>
      <c r="G168" s="3" t="s">
        <v>5</v>
      </c>
      <c r="H168" s="2">
        <f t="shared" ref="H168" si="98">COUNTA(M168:AP168)</f>
        <v>2</v>
      </c>
      <c r="I168" s="2">
        <f t="shared" ref="I168" si="99">COUNTA(N168:AQ168)</f>
        <v>2</v>
      </c>
      <c r="J168" s="2" cm="1">
        <f t="array" ref="J168">MATCH(TRUE,M168:AA168&lt;&gt;"",0)-1</f>
        <v>10</v>
      </c>
      <c r="K168" s="11">
        <f t="shared" si="77"/>
        <v>16.666666666666664</v>
      </c>
      <c r="L168" s="11" t="str">
        <f t="shared" si="78"/>
        <v>★★★</v>
      </c>
      <c r="W168" s="1" t="s">
        <v>537</v>
      </c>
      <c r="X168" s="1" t="s">
        <v>523</v>
      </c>
    </row>
    <row r="169" spans="2:26">
      <c r="B169" s="1" t="s">
        <v>34</v>
      </c>
      <c r="C169" s="1" t="s">
        <v>160</v>
      </c>
      <c r="E169" s="2">
        <f>SUM(H169:H174)</f>
        <v>15</v>
      </c>
      <c r="F169" s="1" t="s">
        <v>493</v>
      </c>
      <c r="G169" s="4" t="s">
        <v>6</v>
      </c>
      <c r="H169" s="2">
        <f t="shared" si="92"/>
        <v>6</v>
      </c>
      <c r="I169" s="2">
        <f t="shared" si="93"/>
        <v>6</v>
      </c>
      <c r="J169" s="2" cm="1">
        <f t="array" ref="J169">MATCH(TRUE,M169:AA169&lt;&gt;"",0)-1</f>
        <v>1</v>
      </c>
      <c r="K169" s="11">
        <f t="shared" si="77"/>
        <v>50</v>
      </c>
      <c r="L169" s="11" t="str">
        <f t="shared" si="78"/>
        <v>★★★★★</v>
      </c>
      <c r="N169" s="1" t="s">
        <v>35</v>
      </c>
      <c r="O169" s="1" t="s">
        <v>44</v>
      </c>
      <c r="S169" s="1" t="s">
        <v>350</v>
      </c>
      <c r="T169" s="1" t="s">
        <v>387</v>
      </c>
      <c r="U169" s="1" t="s">
        <v>35</v>
      </c>
      <c r="V169" s="1" t="s">
        <v>44</v>
      </c>
    </row>
    <row r="170" spans="2:26">
      <c r="F170" s="1" t="s">
        <v>521</v>
      </c>
      <c r="G170" s="3" t="s">
        <v>5</v>
      </c>
      <c r="H170" s="2">
        <f t="shared" ref="H170" si="100">COUNTA(M170:AP170)</f>
        <v>1</v>
      </c>
      <c r="I170" s="2">
        <f t="shared" ref="I170" si="101">COUNTA(N170:AQ170)</f>
        <v>1</v>
      </c>
      <c r="J170" s="2" cm="1">
        <f t="array" ref="J170">MATCH(TRUE,M170:AA170&lt;&gt;"",0)-1</f>
        <v>10</v>
      </c>
      <c r="K170" s="11">
        <f t="shared" si="77"/>
        <v>8.3333333333333321</v>
      </c>
      <c r="L170" s="11" t="str">
        <f t="shared" si="78"/>
        <v>★★</v>
      </c>
      <c r="W170" s="1" t="s">
        <v>522</v>
      </c>
    </row>
    <row r="171" spans="2:26">
      <c r="F171" s="1" t="s">
        <v>189</v>
      </c>
      <c r="G171" s="3" t="s">
        <v>5</v>
      </c>
      <c r="H171" s="2">
        <f t="shared" si="92"/>
        <v>2</v>
      </c>
      <c r="I171" s="2">
        <f t="shared" si="93"/>
        <v>2</v>
      </c>
      <c r="J171" s="2" cm="1">
        <f t="array" ref="J171">MATCH(TRUE,M171:AA171&lt;&gt;"",0)-1</f>
        <v>2</v>
      </c>
      <c r="K171" s="11">
        <f t="shared" si="77"/>
        <v>16.666666666666664</v>
      </c>
      <c r="L171" s="11" t="str">
        <f t="shared" si="78"/>
        <v>★★★</v>
      </c>
      <c r="O171" s="1" t="s">
        <v>36</v>
      </c>
      <c r="X171" s="1" t="s">
        <v>524</v>
      </c>
    </row>
    <row r="172" spans="2:26">
      <c r="F172" s="1" t="s">
        <v>156</v>
      </c>
      <c r="G172" s="3" t="s">
        <v>5</v>
      </c>
      <c r="H172" s="2">
        <f t="shared" si="92"/>
        <v>3</v>
      </c>
      <c r="I172" s="2">
        <f t="shared" si="93"/>
        <v>2</v>
      </c>
      <c r="J172" s="2" cm="1">
        <f t="array" ref="J172">MATCH(TRUE,M172:AA172&lt;&gt;"",0)-1</f>
        <v>0</v>
      </c>
      <c r="K172" s="11">
        <f t="shared" si="77"/>
        <v>16.666666666666664</v>
      </c>
      <c r="L172" s="11" t="str">
        <f t="shared" si="78"/>
        <v>★★★</v>
      </c>
      <c r="M172" s="1" t="s">
        <v>157</v>
      </c>
      <c r="Q172" s="1" t="s">
        <v>249</v>
      </c>
      <c r="Y172" s="1" t="s">
        <v>578</v>
      </c>
    </row>
    <row r="173" spans="2:26">
      <c r="F173" s="1" t="s">
        <v>303</v>
      </c>
      <c r="G173" s="3" t="s">
        <v>5</v>
      </c>
      <c r="H173" s="2">
        <f t="shared" si="92"/>
        <v>1</v>
      </c>
      <c r="I173" s="2">
        <f t="shared" si="93"/>
        <v>1</v>
      </c>
      <c r="J173" s="2" cm="1">
        <f t="array" ref="J173">MATCH(TRUE,M173:AA173&lt;&gt;"",0)-1</f>
        <v>5</v>
      </c>
      <c r="K173" s="11">
        <f t="shared" si="77"/>
        <v>8.3333333333333321</v>
      </c>
      <c r="L173" s="11" t="str">
        <f t="shared" si="78"/>
        <v>★★</v>
      </c>
      <c r="R173" s="1" t="s">
        <v>302</v>
      </c>
    </row>
    <row r="174" spans="2:26">
      <c r="F174" s="1" t="s">
        <v>347</v>
      </c>
      <c r="G174" s="3" t="s">
        <v>5</v>
      </c>
      <c r="H174" s="2">
        <f t="shared" ref="H174" si="102">COUNTA(M174:AP174)</f>
        <v>2</v>
      </c>
      <c r="I174" s="2">
        <f t="shared" ref="I174" si="103">COUNTA(N174:AQ174)</f>
        <v>2</v>
      </c>
      <c r="J174" s="2" cm="1">
        <f t="array" ref="J174">MATCH(TRUE,M174:AA174&lt;&gt;"",0)-1</f>
        <v>6</v>
      </c>
      <c r="K174" s="11">
        <f t="shared" si="77"/>
        <v>16.666666666666664</v>
      </c>
      <c r="L174" s="11" t="str">
        <f t="shared" si="78"/>
        <v>★★★</v>
      </c>
      <c r="S174" s="1" t="s">
        <v>346</v>
      </c>
      <c r="W174" s="1" t="s">
        <v>523</v>
      </c>
    </row>
    <row r="175" spans="2:26">
      <c r="F175" s="1" t="s">
        <v>595</v>
      </c>
      <c r="G175" s="3" t="s">
        <v>5</v>
      </c>
      <c r="H175" s="2">
        <f t="shared" ref="H175" si="104">COUNTA(M175:AP175)</f>
        <v>1</v>
      </c>
      <c r="I175" s="2">
        <f t="shared" ref="I175" si="105">COUNTA(N175:AQ175)</f>
        <v>1</v>
      </c>
      <c r="J175" s="2" cm="1">
        <f t="array" ref="J175">MATCH(TRUE,M175:AA175&lt;&gt;"",0)-1</f>
        <v>13</v>
      </c>
      <c r="K175" s="11">
        <f t="shared" si="77"/>
        <v>0</v>
      </c>
      <c r="L175" s="11" t="str">
        <f t="shared" si="78"/>
        <v>★</v>
      </c>
      <c r="Z175" s="1" t="s">
        <v>574</v>
      </c>
    </row>
    <row r="176" spans="2:26">
      <c r="C176" s="1" t="s">
        <v>161</v>
      </c>
      <c r="E176" s="2">
        <f>SUM(H176:H178)</f>
        <v>5</v>
      </c>
      <c r="F176" s="1" t="s">
        <v>193</v>
      </c>
      <c r="G176" s="3" t="s">
        <v>5</v>
      </c>
      <c r="H176" s="2">
        <f t="shared" si="92"/>
        <v>2</v>
      </c>
      <c r="I176" s="2">
        <f t="shared" si="93"/>
        <v>2</v>
      </c>
      <c r="J176" s="2" cm="1">
        <f t="array" ref="J176">MATCH(TRUE,M176:AA176&lt;&gt;"",0)-1</f>
        <v>2</v>
      </c>
      <c r="K176" s="11">
        <f t="shared" si="77"/>
        <v>16.666666666666664</v>
      </c>
      <c r="L176" s="11" t="str">
        <f t="shared" si="78"/>
        <v>★★★</v>
      </c>
      <c r="O176" s="1" t="s">
        <v>49</v>
      </c>
      <c r="T176" s="1" t="s">
        <v>397</v>
      </c>
    </row>
    <row r="177" spans="2:26">
      <c r="F177" s="1" t="s">
        <v>207</v>
      </c>
      <c r="G177" s="3" t="s">
        <v>5</v>
      </c>
      <c r="H177" s="2">
        <f t="shared" si="92"/>
        <v>2</v>
      </c>
      <c r="I177" s="2">
        <f t="shared" si="93"/>
        <v>2</v>
      </c>
      <c r="J177" s="2" cm="1">
        <f t="array" ref="J177">MATCH(TRUE,M177:AA177&lt;&gt;"",0)-1</f>
        <v>3</v>
      </c>
      <c r="K177" s="11">
        <f t="shared" si="77"/>
        <v>16.666666666666664</v>
      </c>
      <c r="L177" s="11" t="str">
        <f t="shared" si="78"/>
        <v>★★★</v>
      </c>
      <c r="P177" s="1" t="s">
        <v>38</v>
      </c>
      <c r="V177" s="1" t="s">
        <v>478</v>
      </c>
    </row>
    <row r="178" spans="2:26">
      <c r="F178" s="1" t="s">
        <v>344</v>
      </c>
      <c r="G178" s="4" t="s">
        <v>6</v>
      </c>
      <c r="H178" s="2">
        <f t="shared" ref="H178" si="106">COUNTA(M178:AP178)</f>
        <v>1</v>
      </c>
      <c r="I178" s="2">
        <f t="shared" ref="I178" si="107">COUNTA(N178:AQ178)</f>
        <v>1</v>
      </c>
      <c r="J178" s="2" cm="1">
        <f t="array" ref="J178">MATCH(TRUE,M178:AA178&lt;&gt;"",0)-1</f>
        <v>6</v>
      </c>
      <c r="K178" s="11">
        <f t="shared" si="77"/>
        <v>8.3333333333333321</v>
      </c>
      <c r="L178" s="11" t="str">
        <f t="shared" si="78"/>
        <v>★★</v>
      </c>
      <c r="S178" s="1" t="s">
        <v>345</v>
      </c>
    </row>
    <row r="179" spans="2:26">
      <c r="B179" s="1" t="s">
        <v>37</v>
      </c>
      <c r="C179" s="1" t="s">
        <v>356</v>
      </c>
      <c r="E179" s="2">
        <f>SUM(H179:H180)</f>
        <v>8</v>
      </c>
      <c r="F179" s="1" t="s">
        <v>209</v>
      </c>
      <c r="G179" s="3" t="s">
        <v>5</v>
      </c>
      <c r="H179" s="2">
        <f t="shared" si="92"/>
        <v>6</v>
      </c>
      <c r="I179" s="2">
        <f t="shared" si="93"/>
        <v>5</v>
      </c>
      <c r="J179" s="2" cm="1">
        <f t="array" ref="J179">MATCH(TRUE,M179:AA179&lt;&gt;"",0)-1</f>
        <v>0</v>
      </c>
      <c r="K179" s="11">
        <f t="shared" si="77"/>
        <v>33.333333333333329</v>
      </c>
      <c r="L179" s="11" t="str">
        <f t="shared" si="78"/>
        <v>★★★★★</v>
      </c>
      <c r="M179" s="1" t="s">
        <v>49</v>
      </c>
      <c r="N179" s="1" t="s">
        <v>38</v>
      </c>
      <c r="P179" s="1" t="s">
        <v>41</v>
      </c>
      <c r="V179" s="1" t="s">
        <v>480</v>
      </c>
      <c r="W179" s="1" t="s">
        <v>525</v>
      </c>
      <c r="Z179" s="1" t="s">
        <v>580</v>
      </c>
    </row>
    <row r="180" spans="2:26">
      <c r="F180" s="1" t="s">
        <v>355</v>
      </c>
      <c r="G180" s="3" t="s">
        <v>5</v>
      </c>
      <c r="H180" s="2">
        <f t="shared" ref="H180" si="108">COUNTA(M180:AP180)</f>
        <v>2</v>
      </c>
      <c r="I180" s="2">
        <f t="shared" ref="I180" si="109">COUNTA(N180:AQ180)</f>
        <v>2</v>
      </c>
      <c r="J180" s="2" cm="1">
        <f t="array" ref="J180">MATCH(TRUE,M180:AA180&lt;&gt;"",0)-1</f>
        <v>6</v>
      </c>
      <c r="K180" s="11">
        <f t="shared" si="77"/>
        <v>16.666666666666664</v>
      </c>
      <c r="L180" s="11" t="str">
        <f t="shared" si="78"/>
        <v>★★★</v>
      </c>
      <c r="S180" s="1" t="s">
        <v>354</v>
      </c>
      <c r="X180" s="1" t="s">
        <v>538</v>
      </c>
    </row>
    <row r="181" spans="2:26">
      <c r="C181" s="1" t="s">
        <v>93</v>
      </c>
      <c r="E181" s="2">
        <f>SUM(H181:H183)</f>
        <v>9</v>
      </c>
      <c r="F181" s="1" t="s">
        <v>172</v>
      </c>
      <c r="G181" s="3" t="s">
        <v>5</v>
      </c>
      <c r="H181" s="2">
        <f t="shared" si="92"/>
        <v>3</v>
      </c>
      <c r="I181" s="2">
        <f t="shared" si="93"/>
        <v>3</v>
      </c>
      <c r="J181" s="2" cm="1">
        <f t="array" ref="J181">MATCH(TRUE,M181:AA181&lt;&gt;"",0)-1</f>
        <v>2</v>
      </c>
      <c r="K181" s="11">
        <f t="shared" si="77"/>
        <v>25</v>
      </c>
      <c r="L181" s="11" t="str">
        <f t="shared" si="78"/>
        <v>★★★★</v>
      </c>
      <c r="O181" s="1" t="s">
        <v>39</v>
      </c>
      <c r="T181" s="1" t="s">
        <v>390</v>
      </c>
      <c r="Y181" s="1" t="s">
        <v>581</v>
      </c>
    </row>
    <row r="182" spans="2:26">
      <c r="F182" s="1" t="s">
        <v>306</v>
      </c>
      <c r="G182" s="3" t="s">
        <v>5</v>
      </c>
      <c r="H182" s="2">
        <f t="shared" si="92"/>
        <v>2</v>
      </c>
      <c r="I182" s="2">
        <f t="shared" si="93"/>
        <v>2</v>
      </c>
      <c r="J182" s="2" cm="1">
        <f t="array" ref="J182">MATCH(TRUE,M182:AA182&lt;&gt;"",0)-1</f>
        <v>5</v>
      </c>
      <c r="K182" s="11">
        <f t="shared" si="77"/>
        <v>16.666666666666664</v>
      </c>
      <c r="L182" s="11" t="str">
        <f t="shared" si="78"/>
        <v>★★★</v>
      </c>
      <c r="R182" s="1" t="s">
        <v>307</v>
      </c>
      <c r="U182" s="1" t="s">
        <v>425</v>
      </c>
    </row>
    <row r="183" spans="2:26">
      <c r="F183" s="1" t="s">
        <v>251</v>
      </c>
      <c r="G183" s="4" t="s">
        <v>6</v>
      </c>
      <c r="H183" s="2">
        <f t="shared" si="92"/>
        <v>4</v>
      </c>
      <c r="I183" s="2">
        <f t="shared" si="93"/>
        <v>3</v>
      </c>
      <c r="J183" s="2" cm="1">
        <f t="array" ref="J183">MATCH(TRUE,M183:AA183&lt;&gt;"",0)-1</f>
        <v>0</v>
      </c>
      <c r="K183" s="11">
        <f t="shared" si="77"/>
        <v>25</v>
      </c>
      <c r="L183" s="11" t="str">
        <f t="shared" si="78"/>
        <v>★★★★</v>
      </c>
      <c r="M183" s="1" t="s">
        <v>164</v>
      </c>
      <c r="Q183" s="1" t="s">
        <v>250</v>
      </c>
      <c r="S183" s="1" t="s">
        <v>348</v>
      </c>
      <c r="W183" s="1" t="s">
        <v>524</v>
      </c>
    </row>
    <row r="184" spans="2:26">
      <c r="C184" s="1" t="s">
        <v>94</v>
      </c>
      <c r="E184" s="2">
        <f>SUM(H184:H191)</f>
        <v>17</v>
      </c>
      <c r="F184" s="1" t="s">
        <v>208</v>
      </c>
      <c r="G184" s="4" t="s">
        <v>6</v>
      </c>
      <c r="H184" s="2">
        <f t="shared" si="92"/>
        <v>5</v>
      </c>
      <c r="I184" s="2">
        <f t="shared" si="93"/>
        <v>5</v>
      </c>
      <c r="J184" s="2" cm="1">
        <f t="array" ref="J184">MATCH(TRUE,M184:AA184&lt;&gt;"",0)-1</f>
        <v>1</v>
      </c>
      <c r="K184" s="11">
        <f t="shared" si="77"/>
        <v>33.333333333333329</v>
      </c>
      <c r="L184" s="11" t="str">
        <f t="shared" si="78"/>
        <v>★★★★★</v>
      </c>
      <c r="N184" s="1" t="s">
        <v>39</v>
      </c>
      <c r="P184" s="1" t="s">
        <v>39</v>
      </c>
      <c r="U184" s="1" t="s">
        <v>424</v>
      </c>
      <c r="V184" s="1" t="s">
        <v>481</v>
      </c>
      <c r="Z184" s="1" t="s">
        <v>577</v>
      </c>
    </row>
    <row r="185" spans="2:26">
      <c r="F185" s="1" t="s">
        <v>190</v>
      </c>
      <c r="G185" s="4" t="s">
        <v>6</v>
      </c>
      <c r="H185" s="2">
        <f t="shared" si="92"/>
        <v>2</v>
      </c>
      <c r="I185" s="2">
        <f t="shared" si="93"/>
        <v>2</v>
      </c>
      <c r="J185" s="2" cm="1">
        <f t="array" ref="J185">MATCH(TRUE,M185:AA185&lt;&gt;"",0)-1</f>
        <v>2</v>
      </c>
      <c r="K185" s="11">
        <f t="shared" si="77"/>
        <v>16.666666666666664</v>
      </c>
      <c r="L185" s="11" t="str">
        <f t="shared" si="78"/>
        <v>★★★</v>
      </c>
      <c r="O185" s="1" t="s">
        <v>38</v>
      </c>
      <c r="R185" s="1" t="s">
        <v>305</v>
      </c>
    </row>
    <row r="186" spans="2:26">
      <c r="F186" s="1" t="s">
        <v>158</v>
      </c>
      <c r="G186" s="3" t="s">
        <v>5</v>
      </c>
      <c r="H186" s="2">
        <f t="shared" si="92"/>
        <v>3</v>
      </c>
      <c r="I186" s="2">
        <f t="shared" si="93"/>
        <v>2</v>
      </c>
      <c r="J186" s="2" cm="1">
        <f t="array" ref="J186">MATCH(TRUE,M186:AA186&lt;&gt;"",0)-1</f>
        <v>0</v>
      </c>
      <c r="K186" s="11">
        <f t="shared" si="77"/>
        <v>8.3333333333333321</v>
      </c>
      <c r="L186" s="11" t="str">
        <f t="shared" si="78"/>
        <v>★★</v>
      </c>
      <c r="M186" s="1" t="s">
        <v>159</v>
      </c>
      <c r="S186" s="1" t="s">
        <v>349</v>
      </c>
      <c r="Z186" s="1" t="s">
        <v>578</v>
      </c>
    </row>
    <row r="187" spans="2:26">
      <c r="F187" s="1" t="s">
        <v>78</v>
      </c>
      <c r="G187" s="3" t="s">
        <v>5</v>
      </c>
      <c r="H187" s="2">
        <f t="shared" si="92"/>
        <v>1</v>
      </c>
      <c r="I187" s="2">
        <f t="shared" si="93"/>
        <v>1</v>
      </c>
      <c r="J187" s="2" cm="1">
        <f t="array" ref="J187">MATCH(TRUE,M187:AA187&lt;&gt;"",0)-1</f>
        <v>2</v>
      </c>
      <c r="K187" s="11">
        <f t="shared" si="77"/>
        <v>8.3333333333333321</v>
      </c>
      <c r="L187" s="11" t="str">
        <f t="shared" si="78"/>
        <v>★★</v>
      </c>
      <c r="O187" s="1" t="s">
        <v>50</v>
      </c>
    </row>
    <row r="188" spans="2:26">
      <c r="F188" s="1" t="s">
        <v>212</v>
      </c>
      <c r="G188" s="3" t="s">
        <v>5</v>
      </c>
      <c r="H188" s="2">
        <f t="shared" si="92"/>
        <v>3</v>
      </c>
      <c r="I188" s="2">
        <f t="shared" si="93"/>
        <v>3</v>
      </c>
      <c r="J188" s="2" cm="1">
        <f t="array" ref="J188">MATCH(TRUE,M188:AA188&lt;&gt;"",0)-1</f>
        <v>3</v>
      </c>
      <c r="K188" s="11">
        <f t="shared" si="77"/>
        <v>25</v>
      </c>
      <c r="L188" s="11" t="str">
        <f t="shared" si="78"/>
        <v>★★★★</v>
      </c>
      <c r="P188" s="1" t="s">
        <v>49</v>
      </c>
      <c r="U188" s="1" t="s">
        <v>436</v>
      </c>
      <c r="W188" s="1" t="s">
        <v>538</v>
      </c>
    </row>
    <row r="189" spans="2:26">
      <c r="F189" s="1" t="s">
        <v>252</v>
      </c>
      <c r="G189" s="3" t="s">
        <v>5</v>
      </c>
      <c r="H189" s="2">
        <f t="shared" si="92"/>
        <v>1</v>
      </c>
      <c r="I189" s="2">
        <f t="shared" si="93"/>
        <v>1</v>
      </c>
      <c r="J189" s="2" cm="1">
        <f t="array" ref="J189">MATCH(TRUE,M189:AA189&lt;&gt;"",0)-1</f>
        <v>4</v>
      </c>
      <c r="K189" s="11">
        <f t="shared" si="77"/>
        <v>8.3333333333333321</v>
      </c>
      <c r="L189" s="11" t="str">
        <f t="shared" si="78"/>
        <v>★★</v>
      </c>
      <c r="Q189" s="1" t="s">
        <v>253</v>
      </c>
    </row>
    <row r="190" spans="2:26">
      <c r="F190" s="1" t="s">
        <v>482</v>
      </c>
      <c r="G190" s="3" t="s">
        <v>5</v>
      </c>
      <c r="H190" s="2">
        <f t="shared" ref="H190" si="110">COUNTA(M190:AP190)</f>
        <v>1</v>
      </c>
      <c r="I190" s="2">
        <f t="shared" ref="I190" si="111">COUNTA(N190:AQ190)</f>
        <v>1</v>
      </c>
      <c r="J190" s="2" cm="1">
        <f t="array" ref="J190">MATCH(TRUE,M190:AA190&lt;&gt;"",0)-1</f>
        <v>9</v>
      </c>
      <c r="K190" s="11">
        <f t="shared" si="77"/>
        <v>8.3333333333333321</v>
      </c>
      <c r="L190" s="11" t="str">
        <f t="shared" si="78"/>
        <v>★★</v>
      </c>
      <c r="V190" s="1" t="s">
        <v>483</v>
      </c>
    </row>
    <row r="191" spans="2:26">
      <c r="C191" s="1" t="s">
        <v>545</v>
      </c>
      <c r="F191" s="1" t="s">
        <v>398</v>
      </c>
      <c r="G191" s="3" t="s">
        <v>5</v>
      </c>
      <c r="H191" s="2">
        <f t="shared" ref="H191" si="112">COUNTA(M191:AP191)</f>
        <v>1</v>
      </c>
      <c r="I191" s="2">
        <f t="shared" ref="I191" si="113">COUNTA(N191:AQ191)</f>
        <v>1</v>
      </c>
      <c r="J191" s="2" cm="1">
        <f t="array" ref="J191">MATCH(TRUE,M191:AA191&lt;&gt;"",0)-1</f>
        <v>7</v>
      </c>
      <c r="K191" s="11">
        <f t="shared" si="77"/>
        <v>8.3333333333333321</v>
      </c>
      <c r="L191" s="11" t="str">
        <f t="shared" si="78"/>
        <v>★★</v>
      </c>
      <c r="T191" s="1" t="s">
        <v>399</v>
      </c>
    </row>
    <row r="192" spans="2:26">
      <c r="F192" s="1" t="s">
        <v>579</v>
      </c>
      <c r="G192" s="3" t="s">
        <v>5</v>
      </c>
      <c r="H192" s="2">
        <f t="shared" ref="H192" si="114">COUNTA(M192:AP192)</f>
        <v>1</v>
      </c>
      <c r="I192" s="2">
        <f t="shared" ref="I192" si="115">COUNTA(N192:AQ192)</f>
        <v>1</v>
      </c>
      <c r="J192" s="2" cm="1">
        <f t="array" ref="J192">MATCH(TRUE,M192:AA192&lt;&gt;"",0)-1</f>
        <v>12</v>
      </c>
      <c r="K192" s="11">
        <f t="shared" si="77"/>
        <v>8.3333333333333321</v>
      </c>
      <c r="L192" s="11" t="str">
        <f t="shared" si="78"/>
        <v>★★</v>
      </c>
      <c r="Y192" s="1" t="s">
        <v>580</v>
      </c>
    </row>
    <row r="193" spans="1:26">
      <c r="F193" s="1" t="s">
        <v>546</v>
      </c>
      <c r="G193" s="3" t="s">
        <v>5</v>
      </c>
      <c r="H193" s="2">
        <f t="shared" ref="H193" si="116">COUNTA(M193:AP193)</f>
        <v>1</v>
      </c>
      <c r="I193" s="2">
        <f t="shared" ref="I193" si="117">COUNTA(N193:AQ193)</f>
        <v>1</v>
      </c>
      <c r="J193" s="2" cm="1">
        <f t="array" ref="J193">MATCH(TRUE,M193:AA193&lt;&gt;"",0)-1</f>
        <v>11</v>
      </c>
      <c r="K193" s="11">
        <f t="shared" si="77"/>
        <v>8.3333333333333321</v>
      </c>
      <c r="L193" s="11" t="str">
        <f t="shared" si="78"/>
        <v>★★</v>
      </c>
      <c r="X193" s="1" t="s">
        <v>525</v>
      </c>
    </row>
    <row r="194" spans="1:26">
      <c r="A194" s="1" t="s">
        <v>173</v>
      </c>
      <c r="B194" s="1" t="s">
        <v>42</v>
      </c>
      <c r="E194" s="2">
        <f>SUM(H194:H207)</f>
        <v>22</v>
      </c>
      <c r="F194" s="1" t="s">
        <v>109</v>
      </c>
      <c r="G194" s="3" t="s">
        <v>5</v>
      </c>
      <c r="H194" s="2">
        <f t="shared" si="92"/>
        <v>3</v>
      </c>
      <c r="I194" s="2">
        <f t="shared" si="93"/>
        <v>3</v>
      </c>
      <c r="J194" s="2" cm="1">
        <f t="array" ref="J194">MATCH(TRUE,M194:AA194&lt;&gt;"",0)-1</f>
        <v>1</v>
      </c>
      <c r="K194" s="11">
        <f t="shared" si="77"/>
        <v>25</v>
      </c>
      <c r="L194" s="11" t="str">
        <f t="shared" si="78"/>
        <v>★★★★</v>
      </c>
      <c r="N194" s="1" t="s">
        <v>41</v>
      </c>
      <c r="Q194" s="1" t="s">
        <v>265</v>
      </c>
      <c r="V194" s="1" t="s">
        <v>492</v>
      </c>
    </row>
    <row r="195" spans="1:26">
      <c r="B195" s="1" t="s">
        <v>174</v>
      </c>
      <c r="F195" s="1" t="s">
        <v>191</v>
      </c>
      <c r="G195" s="3" t="s">
        <v>5</v>
      </c>
      <c r="H195" s="2">
        <f t="shared" si="92"/>
        <v>2</v>
      </c>
      <c r="I195" s="2">
        <f t="shared" si="93"/>
        <v>2</v>
      </c>
      <c r="J195" s="2" cm="1">
        <f t="array" ref="J195">MATCH(TRUE,M195:AA195&lt;&gt;"",0)-1</f>
        <v>2</v>
      </c>
      <c r="K195" s="11">
        <f t="shared" ref="K195:K217" si="118">COUNTA(N195:Y195)/COUNTA($N$1:$Y$1)*100</f>
        <v>16.666666666666664</v>
      </c>
      <c r="L195" s="11" t="str">
        <f t="shared" ref="L195:L217" si="119">IF(K195&gt;=33,"★★★★★",IF(K195&gt;=25,"★★★★",IF(K195&gt;=15,"★★★",IF(K195&gt;=5,"★★","★"))))</f>
        <v>★★★</v>
      </c>
      <c r="O195" s="1" t="s">
        <v>41</v>
      </c>
      <c r="Y195" s="1" t="s">
        <v>582</v>
      </c>
    </row>
    <row r="196" spans="1:26">
      <c r="F196" s="1" t="s">
        <v>427</v>
      </c>
      <c r="G196" s="4" t="s">
        <v>6</v>
      </c>
      <c r="H196" s="2">
        <f t="shared" ref="H196" si="120">COUNTA(M196:AP196)</f>
        <v>1</v>
      </c>
      <c r="I196" s="2">
        <f t="shared" ref="I196" si="121">COUNTA(N196:AQ196)</f>
        <v>1</v>
      </c>
      <c r="J196" s="2" cm="1">
        <f t="array" ref="J196">MATCH(TRUE,M196:AA196&lt;&gt;"",0)-1</f>
        <v>8</v>
      </c>
      <c r="K196" s="11">
        <f t="shared" si="118"/>
        <v>8.3333333333333321</v>
      </c>
      <c r="L196" s="11" t="str">
        <f t="shared" si="119"/>
        <v>★★</v>
      </c>
      <c r="U196" s="1" t="s">
        <v>428</v>
      </c>
    </row>
    <row r="197" spans="1:26">
      <c r="F197" s="1" t="s">
        <v>529</v>
      </c>
      <c r="G197" s="5" t="s">
        <v>84</v>
      </c>
      <c r="H197" s="2">
        <f t="shared" si="92"/>
        <v>3</v>
      </c>
      <c r="I197" s="2">
        <f t="shared" si="93"/>
        <v>2</v>
      </c>
      <c r="J197" s="2" cm="1">
        <f t="array" ref="J197">MATCH(TRUE,M197:AA197&lt;&gt;"",0)-1</f>
        <v>0</v>
      </c>
      <c r="K197" s="11">
        <f t="shared" si="118"/>
        <v>16.666666666666664</v>
      </c>
      <c r="L197" s="11" t="str">
        <f t="shared" si="119"/>
        <v>★★★</v>
      </c>
      <c r="M197" s="1" t="s">
        <v>165</v>
      </c>
      <c r="T197" s="1" t="s">
        <v>392</v>
      </c>
      <c r="W197" s="1" t="s">
        <v>528</v>
      </c>
    </row>
    <row r="198" spans="1:26">
      <c r="F198" s="1" t="s">
        <v>547</v>
      </c>
      <c r="G198" s="3" t="s">
        <v>5</v>
      </c>
      <c r="H198" s="2">
        <f t="shared" ref="H198:H199" si="122">COUNTA(M198:AP198)</f>
        <v>1</v>
      </c>
      <c r="I198" s="2">
        <f t="shared" ref="I198:I199" si="123">COUNTA(N198:AQ198)</f>
        <v>1</v>
      </c>
      <c r="J198" s="2" cm="1">
        <f t="array" ref="J198">MATCH(TRUE,M198:AA198&lt;&gt;"",0)-1</f>
        <v>11</v>
      </c>
      <c r="K198" s="11">
        <f t="shared" si="118"/>
        <v>8.3333333333333321</v>
      </c>
      <c r="L198" s="11" t="str">
        <f t="shared" si="119"/>
        <v>★★</v>
      </c>
      <c r="X198" s="1" t="s">
        <v>539</v>
      </c>
    </row>
    <row r="199" spans="1:26">
      <c r="F199" s="1" t="s">
        <v>170</v>
      </c>
      <c r="G199" s="3" t="s">
        <v>5</v>
      </c>
      <c r="H199" s="2">
        <f t="shared" si="122"/>
        <v>1</v>
      </c>
      <c r="I199" s="2">
        <f t="shared" si="123"/>
        <v>0</v>
      </c>
      <c r="J199" s="2" cm="1">
        <f t="array" ref="J199">MATCH(TRUE,M199:AA199&lt;&gt;"",0)-1</f>
        <v>0</v>
      </c>
      <c r="K199" s="11">
        <f t="shared" si="118"/>
        <v>0</v>
      </c>
      <c r="L199" s="11" t="str">
        <f t="shared" si="119"/>
        <v>★</v>
      </c>
      <c r="M199" s="1" t="s">
        <v>50</v>
      </c>
    </row>
    <row r="200" spans="1:26">
      <c r="F200" s="1" t="s">
        <v>583</v>
      </c>
      <c r="G200" s="3" t="s">
        <v>5</v>
      </c>
      <c r="H200" s="2">
        <f t="shared" si="92"/>
        <v>1</v>
      </c>
      <c r="I200" s="2">
        <f t="shared" si="93"/>
        <v>1</v>
      </c>
      <c r="J200" s="2" cm="1">
        <f t="array" ref="J200">MATCH(TRUE,M200:AA200&lt;&gt;"",0)-1</f>
        <v>12</v>
      </c>
      <c r="K200" s="11">
        <f t="shared" si="118"/>
        <v>8.3333333333333321</v>
      </c>
      <c r="L200" s="11" t="str">
        <f t="shared" si="119"/>
        <v>★★</v>
      </c>
      <c r="Y200" s="1" t="s">
        <v>584</v>
      </c>
    </row>
    <row r="201" spans="1:26">
      <c r="F201" s="1" t="s">
        <v>596</v>
      </c>
      <c r="G201" s="3" t="s">
        <v>5</v>
      </c>
      <c r="H201" s="2">
        <f t="shared" ref="H201" si="124">COUNTA(M201:AP201)</f>
        <v>1</v>
      </c>
      <c r="I201" s="2">
        <f t="shared" ref="I201" si="125">COUNTA(N201:AQ201)</f>
        <v>1</v>
      </c>
      <c r="J201" s="2" cm="1">
        <f t="array" ref="J201">MATCH(TRUE,M201:AA201&lt;&gt;"",0)-1</f>
        <v>13</v>
      </c>
      <c r="K201" s="11">
        <f t="shared" si="118"/>
        <v>0</v>
      </c>
      <c r="L201" s="11" t="str">
        <f t="shared" si="119"/>
        <v>★</v>
      </c>
      <c r="Z201" s="1" t="s">
        <v>584</v>
      </c>
    </row>
    <row r="202" spans="1:26">
      <c r="F202" s="1" t="s">
        <v>308</v>
      </c>
      <c r="G202" s="4" t="s">
        <v>6</v>
      </c>
      <c r="H202" s="2">
        <f t="shared" si="92"/>
        <v>3</v>
      </c>
      <c r="I202" s="2">
        <f t="shared" si="93"/>
        <v>3</v>
      </c>
      <c r="J202" s="2" cm="1">
        <f t="array" ref="J202">MATCH(TRUE,M202:AA202&lt;&gt;"",0)-1</f>
        <v>3</v>
      </c>
      <c r="K202" s="11">
        <f t="shared" si="118"/>
        <v>25</v>
      </c>
      <c r="L202" s="11" t="str">
        <f t="shared" si="119"/>
        <v>★★★★</v>
      </c>
      <c r="P202" s="1" t="s">
        <v>35</v>
      </c>
      <c r="R202" s="1" t="s">
        <v>309</v>
      </c>
      <c r="V202" s="1" t="s">
        <v>479</v>
      </c>
    </row>
    <row r="203" spans="1:26">
      <c r="F203" s="1" t="s">
        <v>311</v>
      </c>
      <c r="G203" s="3" t="s">
        <v>5</v>
      </c>
      <c r="H203" s="2">
        <f t="shared" si="92"/>
        <v>1</v>
      </c>
      <c r="I203" s="2">
        <f t="shared" si="93"/>
        <v>1</v>
      </c>
      <c r="J203" s="2" cm="1">
        <f t="array" ref="J203">MATCH(TRUE,M203:AA203&lt;&gt;"",0)-1</f>
        <v>5</v>
      </c>
      <c r="K203" s="11">
        <f t="shared" si="118"/>
        <v>8.3333333333333321</v>
      </c>
      <c r="L203" s="11" t="str">
        <f t="shared" si="119"/>
        <v>★★</v>
      </c>
      <c r="R203" s="1" t="s">
        <v>312</v>
      </c>
    </row>
    <row r="204" spans="1:26">
      <c r="F204" s="1" t="s">
        <v>316</v>
      </c>
      <c r="G204" s="3" t="s">
        <v>5</v>
      </c>
      <c r="H204" s="2">
        <f t="shared" si="92"/>
        <v>1</v>
      </c>
      <c r="I204" s="2">
        <f t="shared" si="93"/>
        <v>1</v>
      </c>
      <c r="J204" s="2" cm="1">
        <f t="array" ref="J204">MATCH(TRUE,M204:AA204&lt;&gt;"",0)-1</f>
        <v>5</v>
      </c>
      <c r="K204" s="11">
        <f t="shared" si="118"/>
        <v>8.3333333333333321</v>
      </c>
      <c r="L204" s="11" t="str">
        <f t="shared" si="119"/>
        <v>★★</v>
      </c>
      <c r="R204" s="1" t="s">
        <v>265</v>
      </c>
    </row>
    <row r="205" spans="1:26">
      <c r="F205" s="1" t="s">
        <v>393</v>
      </c>
      <c r="G205" s="4" t="s">
        <v>6</v>
      </c>
      <c r="H205" s="2">
        <f t="shared" ref="H205:H207" si="126">COUNTA(M205:AP205)</f>
        <v>2</v>
      </c>
      <c r="I205" s="2">
        <f t="shared" ref="I205:I207" si="127">COUNTA(N205:AQ205)</f>
        <v>2</v>
      </c>
      <c r="J205" s="2" cm="1">
        <f t="array" ref="J205">MATCH(TRUE,M205:AA205&lt;&gt;"",0)-1</f>
        <v>7</v>
      </c>
      <c r="K205" s="11">
        <f t="shared" si="118"/>
        <v>8.3333333333333321</v>
      </c>
      <c r="L205" s="11" t="str">
        <f t="shared" si="119"/>
        <v>★★</v>
      </c>
      <c r="T205" s="1" t="s">
        <v>394</v>
      </c>
      <c r="Z205" s="1" t="s">
        <v>581</v>
      </c>
    </row>
    <row r="206" spans="1:26">
      <c r="F206" s="1" t="s">
        <v>429</v>
      </c>
      <c r="G206" s="4" t="s">
        <v>6</v>
      </c>
      <c r="H206" s="2">
        <f t="shared" ref="H206" si="128">COUNTA(M206:AP206)</f>
        <v>1</v>
      </c>
      <c r="I206" s="2">
        <f t="shared" ref="I206" si="129">COUNTA(N206:AQ206)</f>
        <v>1</v>
      </c>
      <c r="J206" s="2" cm="1">
        <f t="array" ref="J206">MATCH(TRUE,M206:AA206&lt;&gt;"",0)-1</f>
        <v>8</v>
      </c>
      <c r="K206" s="11">
        <f t="shared" si="118"/>
        <v>8.3333333333333321</v>
      </c>
      <c r="L206" s="11" t="str">
        <f t="shared" si="119"/>
        <v>★★</v>
      </c>
      <c r="U206" s="1" t="s">
        <v>430</v>
      </c>
    </row>
    <row r="207" spans="1:26">
      <c r="F207" s="1" t="s">
        <v>400</v>
      </c>
      <c r="G207" s="3" t="s">
        <v>5</v>
      </c>
      <c r="H207" s="2">
        <f t="shared" si="126"/>
        <v>1</v>
      </c>
      <c r="I207" s="2">
        <f t="shared" si="127"/>
        <v>1</v>
      </c>
      <c r="J207" s="2" cm="1">
        <f t="array" ref="J207">MATCH(TRUE,M207:AA207&lt;&gt;"",0)-1</f>
        <v>7</v>
      </c>
      <c r="K207" s="11">
        <f t="shared" si="118"/>
        <v>8.3333333333333321</v>
      </c>
      <c r="L207" s="11" t="str">
        <f t="shared" si="119"/>
        <v>★★</v>
      </c>
      <c r="T207" s="1" t="s">
        <v>401</v>
      </c>
    </row>
    <row r="208" spans="1:26">
      <c r="F208" s="1" t="s">
        <v>597</v>
      </c>
      <c r="G208" s="3" t="s">
        <v>5</v>
      </c>
      <c r="H208" s="2">
        <f t="shared" ref="H208" si="130">COUNTA(M208:AP208)</f>
        <v>1</v>
      </c>
      <c r="I208" s="2">
        <f t="shared" ref="I208" si="131">COUNTA(N208:AQ208)</f>
        <v>1</v>
      </c>
      <c r="J208" s="2" cm="1">
        <f t="array" ref="J208">MATCH(TRUE,M208:AA208&lt;&gt;"",0)-1</f>
        <v>13</v>
      </c>
      <c r="K208" s="11">
        <f t="shared" si="118"/>
        <v>0</v>
      </c>
      <c r="L208" s="11" t="str">
        <f t="shared" si="119"/>
        <v>★</v>
      </c>
      <c r="Z208" s="1" t="s">
        <v>582</v>
      </c>
    </row>
    <row r="209" spans="1:27">
      <c r="B209" s="1" t="s">
        <v>75</v>
      </c>
      <c r="E209" s="2">
        <f>SUM(H209:H214)</f>
        <v>14</v>
      </c>
      <c r="F209" s="1" t="s">
        <v>76</v>
      </c>
      <c r="G209" s="3" t="s">
        <v>5</v>
      </c>
      <c r="H209" s="2">
        <f t="shared" si="92"/>
        <v>2</v>
      </c>
      <c r="I209" s="2">
        <f t="shared" si="93"/>
        <v>2</v>
      </c>
      <c r="J209" s="2" cm="1">
        <f t="array" ref="J209">MATCH(TRUE,M209:AA209&lt;&gt;"",0)-1</f>
        <v>2</v>
      </c>
      <c r="K209" s="11">
        <f t="shared" si="118"/>
        <v>16.666666666666664</v>
      </c>
      <c r="L209" s="11" t="str">
        <f t="shared" si="119"/>
        <v>★★★</v>
      </c>
      <c r="O209" s="1" t="s">
        <v>40</v>
      </c>
      <c r="V209" s="1" t="s">
        <v>484</v>
      </c>
    </row>
    <row r="210" spans="1:27">
      <c r="B210" s="1" t="s">
        <v>175</v>
      </c>
      <c r="F210" s="1" t="s">
        <v>210</v>
      </c>
      <c r="G210" s="4" t="s">
        <v>6</v>
      </c>
      <c r="H210" s="2">
        <f t="shared" si="92"/>
        <v>1</v>
      </c>
      <c r="I210" s="2">
        <f t="shared" si="93"/>
        <v>1</v>
      </c>
      <c r="J210" s="2" cm="1">
        <f t="array" ref="J210">MATCH(TRUE,M210:AA210&lt;&gt;"",0)-1</f>
        <v>3</v>
      </c>
      <c r="K210" s="11">
        <f t="shared" si="118"/>
        <v>8.3333333333333321</v>
      </c>
      <c r="L210" s="11" t="str">
        <f t="shared" si="119"/>
        <v>★★</v>
      </c>
      <c r="P210" s="1" t="s">
        <v>40</v>
      </c>
    </row>
    <row r="211" spans="1:27">
      <c r="F211" s="1" t="s">
        <v>211</v>
      </c>
      <c r="G211" s="3" t="s">
        <v>5</v>
      </c>
      <c r="H211" s="2">
        <f t="shared" si="92"/>
        <v>4</v>
      </c>
      <c r="I211" s="2">
        <f t="shared" si="93"/>
        <v>4</v>
      </c>
      <c r="J211" s="2" cm="1">
        <f t="array" ref="J211">MATCH(TRUE,M211:AA211&lt;&gt;"",0)-1</f>
        <v>3</v>
      </c>
      <c r="K211" s="11">
        <f t="shared" si="118"/>
        <v>33.333333333333329</v>
      </c>
      <c r="L211" s="11" t="str">
        <f t="shared" si="119"/>
        <v>★★★★★</v>
      </c>
      <c r="P211" s="1" t="s">
        <v>44</v>
      </c>
      <c r="Q211" s="1" t="s">
        <v>258</v>
      </c>
      <c r="U211" s="1" t="s">
        <v>426</v>
      </c>
      <c r="X211" s="1" t="s">
        <v>531</v>
      </c>
    </row>
    <row r="212" spans="1:27">
      <c r="F212" s="1" t="s">
        <v>86</v>
      </c>
      <c r="G212" s="3" t="s">
        <v>5</v>
      </c>
      <c r="H212" s="2">
        <f t="shared" si="92"/>
        <v>3</v>
      </c>
      <c r="I212" s="2">
        <f t="shared" si="93"/>
        <v>3</v>
      </c>
      <c r="J212" s="2" cm="1">
        <f t="array" ref="J212">MATCH(TRUE,M212:AA212&lt;&gt;"",0)-1</f>
        <v>3</v>
      </c>
      <c r="K212" s="11">
        <f t="shared" si="118"/>
        <v>25</v>
      </c>
      <c r="L212" s="11" t="str">
        <f t="shared" si="119"/>
        <v>★★★★</v>
      </c>
      <c r="P212" s="1" t="s">
        <v>50</v>
      </c>
      <c r="S212" s="1" t="s">
        <v>353</v>
      </c>
      <c r="W212" s="1" t="s">
        <v>539</v>
      </c>
    </row>
    <row r="213" spans="1:27">
      <c r="F213" s="1" t="s">
        <v>166</v>
      </c>
      <c r="G213" s="4" t="s">
        <v>6</v>
      </c>
      <c r="H213" s="2">
        <f t="shared" si="92"/>
        <v>3</v>
      </c>
      <c r="I213" s="2">
        <f t="shared" si="93"/>
        <v>2</v>
      </c>
      <c r="J213" s="2" cm="1">
        <f t="array" ref="J213">MATCH(TRUE,M213:AA213&lt;&gt;"",0)-1</f>
        <v>0</v>
      </c>
      <c r="K213" s="11">
        <f t="shared" si="118"/>
        <v>16.666666666666664</v>
      </c>
      <c r="L213" s="11" t="str">
        <f t="shared" si="119"/>
        <v>★★★</v>
      </c>
      <c r="M213" s="1" t="s">
        <v>167</v>
      </c>
      <c r="Q213" s="1" t="s">
        <v>257</v>
      </c>
      <c r="X213" s="1" t="s">
        <v>528</v>
      </c>
    </row>
    <row r="214" spans="1:27">
      <c r="F214" s="1" t="s">
        <v>351</v>
      </c>
      <c r="G214" s="3" t="s">
        <v>5</v>
      </c>
      <c r="H214" s="2">
        <f t="shared" ref="H214" si="132">COUNTA(M214:AP214)</f>
        <v>1</v>
      </c>
      <c r="I214" s="2">
        <f t="shared" ref="I214" si="133">COUNTA(N214:AQ214)</f>
        <v>1</v>
      </c>
      <c r="J214" s="2" cm="1">
        <f t="array" ref="J214">MATCH(TRUE,M214:AA214&lt;&gt;"",0)-1</f>
        <v>6</v>
      </c>
      <c r="K214" s="11">
        <f t="shared" si="118"/>
        <v>8.3333333333333321</v>
      </c>
      <c r="L214" s="11" t="str">
        <f t="shared" si="119"/>
        <v>★★</v>
      </c>
      <c r="S214" s="1" t="s">
        <v>352</v>
      </c>
    </row>
    <row r="215" spans="1:27">
      <c r="B215" s="1" t="s">
        <v>43</v>
      </c>
      <c r="E215" s="2">
        <f>SUM(H215:H217)</f>
        <v>5</v>
      </c>
      <c r="F215" s="1" t="s">
        <v>110</v>
      </c>
      <c r="G215" s="3" t="s">
        <v>5</v>
      </c>
      <c r="H215" s="2">
        <f t="shared" si="92"/>
        <v>1</v>
      </c>
      <c r="I215" s="2">
        <f t="shared" si="93"/>
        <v>1</v>
      </c>
      <c r="J215" s="2" cm="1">
        <f t="array" ref="J215">MATCH(TRUE,M215:AA215&lt;&gt;"",0)-1</f>
        <v>1</v>
      </c>
      <c r="K215" s="11">
        <f t="shared" si="118"/>
        <v>8.3333333333333321</v>
      </c>
      <c r="L215" s="11" t="str">
        <f t="shared" si="119"/>
        <v>★★</v>
      </c>
      <c r="N215" s="1" t="s">
        <v>40</v>
      </c>
    </row>
    <row r="216" spans="1:27">
      <c r="B216" s="1" t="s">
        <v>176</v>
      </c>
      <c r="F216" s="1" t="s">
        <v>108</v>
      </c>
      <c r="G216" s="3" t="s">
        <v>5</v>
      </c>
      <c r="H216" s="2">
        <f t="shared" ref="H216" si="134">COUNTA(M216:AP216)</f>
        <v>3</v>
      </c>
      <c r="I216" s="2">
        <f t="shared" ref="I216" si="135">COUNTA(N216:AQ216)</f>
        <v>3</v>
      </c>
      <c r="J216" s="2" cm="1">
        <f t="array" ref="J216">MATCH(TRUE,M216:AA216&lt;&gt;"",0)-1</f>
        <v>1</v>
      </c>
      <c r="K216" s="11">
        <f t="shared" si="118"/>
        <v>25</v>
      </c>
      <c r="L216" s="11" t="str">
        <f t="shared" si="119"/>
        <v>★★★★</v>
      </c>
      <c r="N216" s="1" t="s">
        <v>50</v>
      </c>
      <c r="W216" s="1" t="s">
        <v>505</v>
      </c>
      <c r="Y216" s="1" t="s">
        <v>589</v>
      </c>
    </row>
    <row r="217" spans="1:27">
      <c r="F217" s="1" t="s">
        <v>526</v>
      </c>
      <c r="G217" s="3" t="s">
        <v>5</v>
      </c>
      <c r="H217" s="2">
        <f t="shared" si="92"/>
        <v>1</v>
      </c>
      <c r="I217" s="2">
        <f t="shared" si="93"/>
        <v>1</v>
      </c>
      <c r="J217" s="2" cm="1">
        <f t="array" ref="J217">MATCH(TRUE,M217:AA217&lt;&gt;"",0)-1</f>
        <v>10</v>
      </c>
      <c r="K217" s="11">
        <f t="shared" si="118"/>
        <v>8.3333333333333321</v>
      </c>
      <c r="L217" s="11" t="str">
        <f t="shared" si="119"/>
        <v>★★</v>
      </c>
      <c r="W217" s="1" t="s">
        <v>527</v>
      </c>
    </row>
    <row r="218" spans="1:27">
      <c r="A218" s="13"/>
      <c r="B218" s="13"/>
      <c r="C218" s="13"/>
      <c r="D218" s="13"/>
      <c r="E218" s="14"/>
      <c r="F218" s="13"/>
      <c r="G218" s="14"/>
      <c r="H218" s="14"/>
      <c r="I218" s="14"/>
      <c r="J218" s="14"/>
      <c r="K218" s="14"/>
      <c r="L218" s="14"/>
      <c r="M218" s="13"/>
      <c r="N218" s="13"/>
      <c r="O218" s="13"/>
      <c r="P218" s="13"/>
      <c r="Q218" s="13"/>
      <c r="R218" s="13"/>
      <c r="S218" s="13"/>
      <c r="T218" s="13"/>
      <c r="U218" s="13"/>
      <c r="V218" s="13"/>
      <c r="W218" s="13"/>
      <c r="X218" s="13"/>
      <c r="Y218" s="13"/>
      <c r="Z218" s="13"/>
      <c r="AA218" s="13"/>
    </row>
    <row r="220" spans="1:27">
      <c r="K220" s="2" t="s">
        <v>607</v>
      </c>
    </row>
    <row r="221" spans="1:27" hidden="1">
      <c r="I221" s="12" t="s">
        <v>602</v>
      </c>
      <c r="J221" s="2">
        <f>COUNTIF(L$221:L$437,"★")</f>
        <v>12</v>
      </c>
      <c r="K221" s="15">
        <f>J221/J$226*100+K222</f>
        <v>100</v>
      </c>
      <c r="L221" s="2" t="s">
        <v>601</v>
      </c>
    </row>
    <row r="222" spans="1:27" hidden="1">
      <c r="I222" s="12" t="s">
        <v>600</v>
      </c>
      <c r="J222" s="2">
        <f>COUNTIF(L$221:L$437,"★★")</f>
        <v>100</v>
      </c>
      <c r="K222" s="15">
        <f>J222/J$226*100+K223</f>
        <v>94.444444444444443</v>
      </c>
      <c r="L222" s="2" t="s">
        <v>603</v>
      </c>
    </row>
    <row r="223" spans="1:27" hidden="1">
      <c r="I223" s="12" t="s">
        <v>601</v>
      </c>
      <c r="J223" s="2">
        <f>COUNTIF(L$221:L$437,"★★★")</f>
        <v>69</v>
      </c>
      <c r="K223" s="15">
        <f>J223/J$226*100+K224</f>
        <v>48.148148148148145</v>
      </c>
      <c r="L223" s="2" t="s">
        <v>600</v>
      </c>
    </row>
    <row r="224" spans="1:27" hidden="1">
      <c r="I224" s="12" t="s">
        <v>605</v>
      </c>
      <c r="J224" s="2">
        <f>COUNTIF(L$221:L$437,"★★★★")</f>
        <v>27</v>
      </c>
      <c r="K224" s="15">
        <f>J224/J$226*100+K225</f>
        <v>16.203703703703702</v>
      </c>
      <c r="L224" s="2" t="s">
        <v>602</v>
      </c>
    </row>
    <row r="225" spans="9:12" hidden="1">
      <c r="I225" s="12" t="s">
        <v>606</v>
      </c>
      <c r="J225" s="2">
        <f>COUNTIF(L$221:L$437,"★★★★★")</f>
        <v>8</v>
      </c>
      <c r="K225" s="15">
        <f>J225/J$226*100</f>
        <v>3.7037037037037033</v>
      </c>
      <c r="L225" s="2" t="s">
        <v>600</v>
      </c>
    </row>
    <row r="226" spans="9:12" hidden="1">
      <c r="J226" s="2">
        <f>SUM(J221:J225)</f>
        <v>216</v>
      </c>
      <c r="L226" s="2" t="s">
        <v>600</v>
      </c>
    </row>
    <row r="227" spans="9:12" hidden="1">
      <c r="L227" s="2" t="s">
        <v>601</v>
      </c>
    </row>
    <row r="228" spans="9:12" hidden="1">
      <c r="L228" s="2" t="s">
        <v>600</v>
      </c>
    </row>
    <row r="229" spans="9:12" hidden="1">
      <c r="L229" s="2" t="s">
        <v>603</v>
      </c>
    </row>
    <row r="230" spans="9:12" hidden="1">
      <c r="L230" s="2" t="s">
        <v>600</v>
      </c>
    </row>
    <row r="231" spans="9:12" hidden="1">
      <c r="L231" s="2" t="s">
        <v>601</v>
      </c>
    </row>
    <row r="232" spans="9:12" hidden="1">
      <c r="L232" s="2" t="s">
        <v>600</v>
      </c>
    </row>
    <row r="233" spans="9:12" hidden="1">
      <c r="L233" s="2" t="s">
        <v>600</v>
      </c>
    </row>
    <row r="234" spans="9:12" hidden="1">
      <c r="L234" s="2" t="s">
        <v>603</v>
      </c>
    </row>
    <row r="235" spans="9:12" hidden="1">
      <c r="L235" s="2" t="s">
        <v>600</v>
      </c>
    </row>
    <row r="236" spans="9:12" hidden="1">
      <c r="L236" s="2" t="s">
        <v>600</v>
      </c>
    </row>
    <row r="237" spans="9:12" hidden="1">
      <c r="L237" s="2" t="s">
        <v>603</v>
      </c>
    </row>
    <row r="238" spans="9:12" hidden="1">
      <c r="L238" s="2" t="s">
        <v>601</v>
      </c>
    </row>
    <row r="239" spans="9:12" hidden="1">
      <c r="L239" s="2" t="s">
        <v>602</v>
      </c>
    </row>
    <row r="240" spans="9:12" hidden="1">
      <c r="L240" s="2" t="s">
        <v>600</v>
      </c>
    </row>
    <row r="241" spans="12:12" hidden="1">
      <c r="L241" s="2" t="s">
        <v>600</v>
      </c>
    </row>
    <row r="242" spans="12:12" hidden="1">
      <c r="L242" s="2" t="s">
        <v>604</v>
      </c>
    </row>
    <row r="243" spans="12:12" hidden="1">
      <c r="L243" s="2" t="s">
        <v>603</v>
      </c>
    </row>
    <row r="244" spans="12:12" hidden="1">
      <c r="L244" s="2" t="s">
        <v>601</v>
      </c>
    </row>
    <row r="245" spans="12:12" hidden="1">
      <c r="L245" s="2" t="s">
        <v>600</v>
      </c>
    </row>
    <row r="246" spans="12:12" hidden="1">
      <c r="L246" s="2" t="s">
        <v>601</v>
      </c>
    </row>
    <row r="247" spans="12:12" hidden="1">
      <c r="L247" s="2" t="s">
        <v>600</v>
      </c>
    </row>
    <row r="248" spans="12:12" hidden="1">
      <c r="L248" s="2" t="s">
        <v>603</v>
      </c>
    </row>
    <row r="249" spans="12:12" hidden="1">
      <c r="L249" s="2" t="s">
        <v>600</v>
      </c>
    </row>
    <row r="250" spans="12:12" hidden="1">
      <c r="L250" s="2" t="s">
        <v>601</v>
      </c>
    </row>
    <row r="251" spans="12:12" hidden="1">
      <c r="L251" s="2" t="s">
        <v>601</v>
      </c>
    </row>
    <row r="252" spans="12:12" hidden="1">
      <c r="L252" s="2" t="s">
        <v>600</v>
      </c>
    </row>
    <row r="253" spans="12:12" hidden="1">
      <c r="L253" s="2" t="s">
        <v>600</v>
      </c>
    </row>
    <row r="254" spans="12:12" hidden="1">
      <c r="L254" s="2" t="s">
        <v>602</v>
      </c>
    </row>
    <row r="255" spans="12:12" hidden="1">
      <c r="L255" s="2" t="s">
        <v>601</v>
      </c>
    </row>
    <row r="256" spans="12:12" hidden="1">
      <c r="L256" s="2" t="s">
        <v>601</v>
      </c>
    </row>
    <row r="257" spans="12:12" hidden="1">
      <c r="L257" s="2" t="s">
        <v>600</v>
      </c>
    </row>
    <row r="258" spans="12:12" hidden="1">
      <c r="L258" s="2" t="s">
        <v>603</v>
      </c>
    </row>
    <row r="259" spans="12:12" hidden="1">
      <c r="L259" s="2" t="s">
        <v>601</v>
      </c>
    </row>
    <row r="260" spans="12:12" hidden="1">
      <c r="L260" s="2" t="s">
        <v>603</v>
      </c>
    </row>
    <row r="261" spans="12:12" hidden="1">
      <c r="L261" s="2" t="s">
        <v>600</v>
      </c>
    </row>
    <row r="262" spans="12:12" hidden="1">
      <c r="L262" s="2" t="s">
        <v>601</v>
      </c>
    </row>
    <row r="263" spans="12:12" hidden="1">
      <c r="L263" s="2" t="s">
        <v>601</v>
      </c>
    </row>
    <row r="264" spans="12:12" hidden="1">
      <c r="L264" s="2" t="s">
        <v>601</v>
      </c>
    </row>
    <row r="265" spans="12:12" hidden="1">
      <c r="L265" s="2" t="s">
        <v>604</v>
      </c>
    </row>
    <row r="266" spans="12:12" hidden="1">
      <c r="L266" s="2" t="s">
        <v>601</v>
      </c>
    </row>
    <row r="267" spans="12:12" hidden="1">
      <c r="L267" s="2" t="s">
        <v>601</v>
      </c>
    </row>
    <row r="268" spans="12:12" hidden="1">
      <c r="L268" s="2" t="s">
        <v>602</v>
      </c>
    </row>
    <row r="269" spans="12:12" hidden="1">
      <c r="L269" s="2" t="s">
        <v>601</v>
      </c>
    </row>
    <row r="270" spans="12:12" hidden="1">
      <c r="L270" s="2" t="s">
        <v>601</v>
      </c>
    </row>
    <row r="271" spans="12:12" hidden="1">
      <c r="L271" s="2" t="s">
        <v>601</v>
      </c>
    </row>
    <row r="272" spans="12:12" hidden="1">
      <c r="L272" s="2" t="s">
        <v>600</v>
      </c>
    </row>
    <row r="273" spans="12:12" hidden="1">
      <c r="L273" s="2" t="s">
        <v>601</v>
      </c>
    </row>
    <row r="274" spans="12:12" hidden="1">
      <c r="L274" s="2" t="s">
        <v>600</v>
      </c>
    </row>
    <row r="275" spans="12:12" hidden="1">
      <c r="L275" s="2" t="s">
        <v>600</v>
      </c>
    </row>
    <row r="276" spans="12:12" hidden="1">
      <c r="L276" s="2" t="s">
        <v>603</v>
      </c>
    </row>
    <row r="277" spans="12:12" hidden="1">
      <c r="L277" s="2" t="s">
        <v>600</v>
      </c>
    </row>
    <row r="278" spans="12:12" hidden="1">
      <c r="L278" s="2" t="s">
        <v>600</v>
      </c>
    </row>
    <row r="279" spans="12:12" hidden="1">
      <c r="L279" s="2" t="s">
        <v>600</v>
      </c>
    </row>
    <row r="280" spans="12:12" hidden="1">
      <c r="L280" s="2" t="s">
        <v>600</v>
      </c>
    </row>
    <row r="281" spans="12:12" hidden="1">
      <c r="L281" s="2" t="s">
        <v>601</v>
      </c>
    </row>
    <row r="282" spans="12:12" hidden="1">
      <c r="L282" s="2" t="s">
        <v>601</v>
      </c>
    </row>
    <row r="283" spans="12:12" hidden="1">
      <c r="L283" s="2" t="s">
        <v>600</v>
      </c>
    </row>
    <row r="284" spans="12:12" hidden="1">
      <c r="L284" s="2" t="s">
        <v>600</v>
      </c>
    </row>
    <row r="285" spans="12:12" hidden="1">
      <c r="L285" s="2" t="s">
        <v>600</v>
      </c>
    </row>
    <row r="286" spans="12:12" hidden="1">
      <c r="L286" s="2" t="s">
        <v>600</v>
      </c>
    </row>
    <row r="287" spans="12:12" hidden="1">
      <c r="L287" s="2" t="s">
        <v>601</v>
      </c>
    </row>
    <row r="288" spans="12:12" hidden="1">
      <c r="L288" s="2" t="s">
        <v>604</v>
      </c>
    </row>
    <row r="289" spans="12:12" hidden="1">
      <c r="L289" s="2" t="s">
        <v>603</v>
      </c>
    </row>
    <row r="290" spans="12:12" hidden="1">
      <c r="L290" s="2" t="s">
        <v>600</v>
      </c>
    </row>
    <row r="291" spans="12:12" hidden="1">
      <c r="L291" s="2" t="s">
        <v>602</v>
      </c>
    </row>
    <row r="292" spans="12:12" hidden="1">
      <c r="L292" s="2" t="s">
        <v>600</v>
      </c>
    </row>
    <row r="293" spans="12:12" hidden="1">
      <c r="L293" s="2" t="s">
        <v>600</v>
      </c>
    </row>
    <row r="294" spans="12:12" hidden="1">
      <c r="L294" s="2" t="s">
        <v>603</v>
      </c>
    </row>
    <row r="295" spans="12:12" hidden="1">
      <c r="L295" s="2" t="s">
        <v>603</v>
      </c>
    </row>
    <row r="296" spans="12:12" hidden="1">
      <c r="L296" s="2" t="s">
        <v>600</v>
      </c>
    </row>
    <row r="297" spans="12:12" hidden="1">
      <c r="L297" s="2" t="s">
        <v>600</v>
      </c>
    </row>
    <row r="298" spans="12:12" hidden="1">
      <c r="L298" s="2" t="s">
        <v>600</v>
      </c>
    </row>
    <row r="299" spans="12:12" hidden="1">
      <c r="L299" s="2" t="s">
        <v>600</v>
      </c>
    </row>
    <row r="300" spans="12:12" hidden="1">
      <c r="L300" s="2" t="s">
        <v>600</v>
      </c>
    </row>
    <row r="301" spans="12:12" hidden="1">
      <c r="L301" s="2" t="s">
        <v>604</v>
      </c>
    </row>
    <row r="302" spans="12:12" hidden="1">
      <c r="L302" s="2" t="s">
        <v>601</v>
      </c>
    </row>
    <row r="303" spans="12:12" hidden="1">
      <c r="L303" s="2" t="s">
        <v>600</v>
      </c>
    </row>
    <row r="304" spans="12:12" hidden="1">
      <c r="L304" s="2" t="s">
        <v>600</v>
      </c>
    </row>
    <row r="305" spans="12:12" hidden="1">
      <c r="L305" s="2" t="s">
        <v>601</v>
      </c>
    </row>
    <row r="306" spans="12:12" hidden="1">
      <c r="L306" s="2" t="s">
        <v>600</v>
      </c>
    </row>
    <row r="307" spans="12:12" hidden="1">
      <c r="L307" s="2" t="s">
        <v>601</v>
      </c>
    </row>
    <row r="308" spans="12:12" hidden="1">
      <c r="L308" s="2" t="s">
        <v>600</v>
      </c>
    </row>
    <row r="309" spans="12:12" hidden="1">
      <c r="L309" s="2" t="s">
        <v>601</v>
      </c>
    </row>
    <row r="310" spans="12:12" hidden="1">
      <c r="L310" s="2" t="s">
        <v>601</v>
      </c>
    </row>
    <row r="311" spans="12:12" hidden="1">
      <c r="L311" s="2" t="s">
        <v>600</v>
      </c>
    </row>
    <row r="312" spans="12:12" hidden="1">
      <c r="L312" s="2" t="s">
        <v>600</v>
      </c>
    </row>
    <row r="313" spans="12:12" hidden="1">
      <c r="L313" s="2" t="s">
        <v>600</v>
      </c>
    </row>
    <row r="314" spans="12:12" hidden="1">
      <c r="L314" s="2" t="s">
        <v>603</v>
      </c>
    </row>
    <row r="315" spans="12:12" hidden="1">
      <c r="L315" s="2" t="s">
        <v>600</v>
      </c>
    </row>
    <row r="316" spans="12:12" hidden="1">
      <c r="L316" s="2" t="s">
        <v>600</v>
      </c>
    </row>
    <row r="317" spans="12:12" hidden="1">
      <c r="L317" s="2" t="s">
        <v>602</v>
      </c>
    </row>
    <row r="318" spans="12:12" hidden="1">
      <c r="L318" s="2" t="s">
        <v>601</v>
      </c>
    </row>
    <row r="319" spans="12:12" hidden="1">
      <c r="L319" s="2" t="s">
        <v>600</v>
      </c>
    </row>
    <row r="320" spans="12:12" hidden="1">
      <c r="L320" s="2" t="s">
        <v>601</v>
      </c>
    </row>
    <row r="321" spans="12:12" hidden="1">
      <c r="L321" s="2" t="s">
        <v>600</v>
      </c>
    </row>
    <row r="322" spans="12:12" hidden="1">
      <c r="L322" s="2" t="s">
        <v>601</v>
      </c>
    </row>
    <row r="323" spans="12:12" hidden="1">
      <c r="L323" s="2" t="s">
        <v>601</v>
      </c>
    </row>
    <row r="324" spans="12:12" hidden="1">
      <c r="L324" s="2" t="s">
        <v>600</v>
      </c>
    </row>
    <row r="325" spans="12:12" hidden="1">
      <c r="L325" s="2" t="s">
        <v>600</v>
      </c>
    </row>
    <row r="326" spans="12:12" hidden="1">
      <c r="L326" s="2" t="s">
        <v>601</v>
      </c>
    </row>
    <row r="327" spans="12:12" hidden="1">
      <c r="L327" s="2" t="s">
        <v>603</v>
      </c>
    </row>
    <row r="328" spans="12:12" hidden="1">
      <c r="L328" s="2" t="s">
        <v>600</v>
      </c>
    </row>
    <row r="329" spans="12:12" hidden="1">
      <c r="L329" s="2" t="s">
        <v>600</v>
      </c>
    </row>
    <row r="330" spans="12:12" hidden="1">
      <c r="L330" s="2" t="s">
        <v>600</v>
      </c>
    </row>
    <row r="331" spans="12:12" hidden="1">
      <c r="L331" s="2" t="s">
        <v>601</v>
      </c>
    </row>
    <row r="332" spans="12:12" hidden="1">
      <c r="L332" s="2" t="s">
        <v>603</v>
      </c>
    </row>
    <row r="333" spans="12:12" hidden="1">
      <c r="L333" s="2" t="s">
        <v>601</v>
      </c>
    </row>
    <row r="334" spans="12:12" hidden="1">
      <c r="L334" s="2" t="s">
        <v>601</v>
      </c>
    </row>
    <row r="335" spans="12:12" hidden="1">
      <c r="L335" s="2" t="s">
        <v>601</v>
      </c>
    </row>
    <row r="336" spans="12:12" hidden="1">
      <c r="L336" s="2" t="s">
        <v>600</v>
      </c>
    </row>
    <row r="337" spans="12:12" hidden="1">
      <c r="L337" s="2" t="s">
        <v>601</v>
      </c>
    </row>
    <row r="338" spans="12:12" hidden="1">
      <c r="L338" s="2" t="s">
        <v>603</v>
      </c>
    </row>
    <row r="339" spans="12:12" hidden="1">
      <c r="L339" s="2" t="s">
        <v>600</v>
      </c>
    </row>
    <row r="340" spans="12:12" hidden="1">
      <c r="L340" s="2" t="s">
        <v>600</v>
      </c>
    </row>
    <row r="341" spans="12:12" hidden="1">
      <c r="L341" s="2" t="s">
        <v>600</v>
      </c>
    </row>
    <row r="342" spans="12:12" hidden="1">
      <c r="L342" s="2" t="s">
        <v>601</v>
      </c>
    </row>
    <row r="343" spans="12:12" hidden="1">
      <c r="L343" s="2" t="s">
        <v>601</v>
      </c>
    </row>
    <row r="344" spans="12:12" hidden="1">
      <c r="L344" s="2" t="s">
        <v>601</v>
      </c>
    </row>
    <row r="345" spans="12:12" hidden="1">
      <c r="L345" s="2" t="s">
        <v>601</v>
      </c>
    </row>
    <row r="346" spans="12:12" hidden="1">
      <c r="L346" s="2" t="s">
        <v>601</v>
      </c>
    </row>
    <row r="347" spans="12:12" hidden="1">
      <c r="L347" s="2" t="s">
        <v>601</v>
      </c>
    </row>
    <row r="348" spans="12:12" hidden="1">
      <c r="L348" s="2" t="s">
        <v>601</v>
      </c>
    </row>
    <row r="349" spans="12:12" hidden="1">
      <c r="L349" s="2" t="s">
        <v>600</v>
      </c>
    </row>
    <row r="350" spans="12:12" hidden="1">
      <c r="L350" s="2" t="s">
        <v>600</v>
      </c>
    </row>
    <row r="351" spans="12:12" hidden="1">
      <c r="L351" s="2" t="s">
        <v>600</v>
      </c>
    </row>
    <row r="352" spans="12:12" hidden="1">
      <c r="L352" s="2" t="s">
        <v>600</v>
      </c>
    </row>
    <row r="353" spans="12:12" hidden="1">
      <c r="L353" s="2" t="s">
        <v>603</v>
      </c>
    </row>
    <row r="354" spans="12:12" hidden="1">
      <c r="L354" s="2" t="s">
        <v>600</v>
      </c>
    </row>
    <row r="355" spans="12:12" hidden="1">
      <c r="L355" s="2" t="s">
        <v>600</v>
      </c>
    </row>
    <row r="356" spans="12:12" hidden="1">
      <c r="L356" s="2" t="s">
        <v>601</v>
      </c>
    </row>
    <row r="357" spans="12:12" hidden="1">
      <c r="L357" s="2" t="s">
        <v>601</v>
      </c>
    </row>
    <row r="358" spans="12:12" hidden="1">
      <c r="L358" s="2" t="s">
        <v>601</v>
      </c>
    </row>
    <row r="359" spans="12:12" hidden="1">
      <c r="L359" s="2" t="s">
        <v>600</v>
      </c>
    </row>
    <row r="360" spans="12:12" hidden="1">
      <c r="L360" s="2" t="s">
        <v>601</v>
      </c>
    </row>
    <row r="361" spans="12:12" hidden="1">
      <c r="L361" s="2" t="s">
        <v>600</v>
      </c>
    </row>
    <row r="362" spans="12:12" hidden="1">
      <c r="L362" s="2" t="s">
        <v>600</v>
      </c>
    </row>
    <row r="363" spans="12:12" hidden="1">
      <c r="L363" s="2" t="s">
        <v>603</v>
      </c>
    </row>
    <row r="364" spans="12:12" hidden="1">
      <c r="L364" s="2" t="s">
        <v>601</v>
      </c>
    </row>
    <row r="365" spans="12:12" hidden="1">
      <c r="L365" s="2" t="s">
        <v>600</v>
      </c>
    </row>
    <row r="366" spans="12:12" hidden="1">
      <c r="L366" s="2" t="s">
        <v>601</v>
      </c>
    </row>
    <row r="367" spans="12:12" hidden="1">
      <c r="L367" s="2" t="s">
        <v>601</v>
      </c>
    </row>
    <row r="368" spans="12:12" hidden="1">
      <c r="L368" s="2" t="s">
        <v>600</v>
      </c>
    </row>
    <row r="369" spans="12:12" hidden="1">
      <c r="L369" s="2" t="s">
        <v>603</v>
      </c>
    </row>
    <row r="370" spans="12:12" hidden="1">
      <c r="L370" s="2" t="s">
        <v>603</v>
      </c>
    </row>
    <row r="371" spans="12:12" hidden="1">
      <c r="L371" s="2" t="s">
        <v>601</v>
      </c>
    </row>
    <row r="372" spans="12:12" hidden="1">
      <c r="L372" s="2" t="s">
        <v>601</v>
      </c>
    </row>
    <row r="373" spans="12:12" hidden="1">
      <c r="L373" s="2" t="s">
        <v>602</v>
      </c>
    </row>
    <row r="374" spans="12:12" hidden="1">
      <c r="L374" s="2" t="s">
        <v>600</v>
      </c>
    </row>
    <row r="375" spans="12:12" hidden="1">
      <c r="L375" s="2" t="s">
        <v>600</v>
      </c>
    </row>
    <row r="376" spans="12:12" hidden="1">
      <c r="L376" s="2" t="s">
        <v>601</v>
      </c>
    </row>
    <row r="377" spans="12:12" hidden="1">
      <c r="L377" s="2" t="s">
        <v>600</v>
      </c>
    </row>
    <row r="378" spans="12:12" hidden="1">
      <c r="L378" s="2" t="s">
        <v>602</v>
      </c>
    </row>
    <row r="379" spans="12:12" hidden="1">
      <c r="L379" s="2" t="s">
        <v>601</v>
      </c>
    </row>
    <row r="380" spans="12:12" hidden="1">
      <c r="L380" s="2" t="s">
        <v>600</v>
      </c>
    </row>
    <row r="381" spans="12:12" hidden="1">
      <c r="L381" s="2" t="s">
        <v>600</v>
      </c>
    </row>
    <row r="382" spans="12:12" hidden="1">
      <c r="L382" s="2" t="s">
        <v>600</v>
      </c>
    </row>
    <row r="383" spans="12:12" hidden="1">
      <c r="L383" s="2" t="s">
        <v>600</v>
      </c>
    </row>
    <row r="384" spans="12:12" hidden="1">
      <c r="L384" s="2" t="s">
        <v>600</v>
      </c>
    </row>
    <row r="385" spans="12:12" hidden="1">
      <c r="L385" s="2" t="s">
        <v>600</v>
      </c>
    </row>
    <row r="386" spans="12:12" hidden="1">
      <c r="L386" s="2" t="s">
        <v>600</v>
      </c>
    </row>
    <row r="387" spans="12:12" hidden="1">
      <c r="L387" s="2" t="s">
        <v>601</v>
      </c>
    </row>
    <row r="388" spans="12:12" hidden="1">
      <c r="L388" s="2" t="s">
        <v>604</v>
      </c>
    </row>
    <row r="389" spans="12:12" hidden="1">
      <c r="L389" s="2" t="s">
        <v>600</v>
      </c>
    </row>
    <row r="390" spans="12:12" hidden="1">
      <c r="L390" s="2" t="s">
        <v>601</v>
      </c>
    </row>
    <row r="391" spans="12:12" hidden="1">
      <c r="L391" s="2" t="s">
        <v>601</v>
      </c>
    </row>
    <row r="392" spans="12:12" hidden="1">
      <c r="L392" s="2" t="s">
        <v>600</v>
      </c>
    </row>
    <row r="393" spans="12:12" hidden="1">
      <c r="L393" s="2" t="s">
        <v>601</v>
      </c>
    </row>
    <row r="394" spans="12:12" hidden="1">
      <c r="L394" s="2" t="s">
        <v>602</v>
      </c>
    </row>
    <row r="395" spans="12:12" hidden="1">
      <c r="L395" s="2" t="s">
        <v>601</v>
      </c>
    </row>
    <row r="396" spans="12:12" hidden="1">
      <c r="L396" s="2" t="s">
        <v>601</v>
      </c>
    </row>
    <row r="397" spans="12:12" hidden="1">
      <c r="L397" s="2" t="s">
        <v>600</v>
      </c>
    </row>
    <row r="398" spans="12:12" hidden="1">
      <c r="L398" s="2" t="s">
        <v>604</v>
      </c>
    </row>
    <row r="399" spans="12:12" hidden="1">
      <c r="L399" s="2" t="s">
        <v>601</v>
      </c>
    </row>
    <row r="400" spans="12:12" hidden="1">
      <c r="L400" s="2" t="s">
        <v>603</v>
      </c>
    </row>
    <row r="401" spans="12:12" hidden="1">
      <c r="L401" s="2" t="s">
        <v>601</v>
      </c>
    </row>
    <row r="402" spans="12:12" hidden="1">
      <c r="L402" s="2" t="s">
        <v>603</v>
      </c>
    </row>
    <row r="403" spans="12:12" hidden="1">
      <c r="L403" s="2" t="s">
        <v>604</v>
      </c>
    </row>
    <row r="404" spans="12:12" hidden="1">
      <c r="L404" s="2" t="s">
        <v>601</v>
      </c>
    </row>
    <row r="405" spans="12:12" hidden="1">
      <c r="L405" s="2" t="s">
        <v>600</v>
      </c>
    </row>
    <row r="406" spans="12:12" hidden="1">
      <c r="L406" s="2" t="s">
        <v>600</v>
      </c>
    </row>
    <row r="407" spans="12:12" hidden="1">
      <c r="L407" s="2" t="s">
        <v>603</v>
      </c>
    </row>
    <row r="408" spans="12:12" hidden="1">
      <c r="L408" s="2" t="s">
        <v>600</v>
      </c>
    </row>
    <row r="409" spans="12:12" hidden="1">
      <c r="L409" s="2" t="s">
        <v>600</v>
      </c>
    </row>
    <row r="410" spans="12:12" hidden="1">
      <c r="L410" s="2" t="s">
        <v>600</v>
      </c>
    </row>
    <row r="411" spans="12:12" hidden="1">
      <c r="L411" s="2" t="s">
        <v>600</v>
      </c>
    </row>
    <row r="412" spans="12:12" hidden="1">
      <c r="L412" s="2" t="s">
        <v>600</v>
      </c>
    </row>
    <row r="413" spans="12:12" hidden="1">
      <c r="L413" s="2" t="s">
        <v>603</v>
      </c>
    </row>
    <row r="414" spans="12:12" hidden="1">
      <c r="L414" s="2" t="s">
        <v>601</v>
      </c>
    </row>
    <row r="415" spans="12:12" hidden="1">
      <c r="L415" s="2" t="s">
        <v>600</v>
      </c>
    </row>
    <row r="416" spans="12:12" hidden="1">
      <c r="L416" s="2" t="s">
        <v>601</v>
      </c>
    </row>
    <row r="417" spans="12:12" hidden="1">
      <c r="L417" s="2" t="s">
        <v>600</v>
      </c>
    </row>
    <row r="418" spans="12:12" hidden="1">
      <c r="L418" s="2" t="s">
        <v>602</v>
      </c>
    </row>
    <row r="419" spans="12:12" hidden="1">
      <c r="L419" s="2" t="s">
        <v>600</v>
      </c>
    </row>
    <row r="420" spans="12:12" hidden="1">
      <c r="L420" s="2" t="s">
        <v>602</v>
      </c>
    </row>
    <row r="421" spans="12:12" hidden="1">
      <c r="L421" s="2" t="s">
        <v>603</v>
      </c>
    </row>
    <row r="422" spans="12:12" hidden="1">
      <c r="L422" s="2" t="s">
        <v>600</v>
      </c>
    </row>
    <row r="423" spans="12:12" hidden="1">
      <c r="L423" s="2" t="s">
        <v>600</v>
      </c>
    </row>
    <row r="424" spans="12:12" hidden="1">
      <c r="L424" s="2" t="s">
        <v>600</v>
      </c>
    </row>
    <row r="425" spans="12:12" hidden="1">
      <c r="L425" s="2" t="s">
        <v>600</v>
      </c>
    </row>
    <row r="426" spans="12:12" hidden="1">
      <c r="L426" s="2" t="s">
        <v>600</v>
      </c>
    </row>
    <row r="427" spans="12:12" hidden="1">
      <c r="L427" s="2" t="s">
        <v>602</v>
      </c>
    </row>
    <row r="428" spans="12:12" hidden="1">
      <c r="L428" s="2" t="s">
        <v>601</v>
      </c>
    </row>
    <row r="429" spans="12:12" hidden="1">
      <c r="L429" s="2" t="s">
        <v>600</v>
      </c>
    </row>
    <row r="430" spans="12:12" hidden="1">
      <c r="L430" s="2" t="s">
        <v>604</v>
      </c>
    </row>
    <row r="431" spans="12:12" hidden="1">
      <c r="L431" s="2" t="s">
        <v>603</v>
      </c>
    </row>
    <row r="432" spans="12:12" hidden="1">
      <c r="L432" s="2" t="s">
        <v>601</v>
      </c>
    </row>
    <row r="433" spans="12:12" hidden="1">
      <c r="L433" s="2" t="s">
        <v>600</v>
      </c>
    </row>
    <row r="434" spans="12:12" hidden="1">
      <c r="L434" s="2" t="s">
        <v>600</v>
      </c>
    </row>
    <row r="435" spans="12:12" hidden="1">
      <c r="L435" s="2" t="s">
        <v>603</v>
      </c>
    </row>
    <row r="436" spans="12:12" hidden="1">
      <c r="L436" s="2" t="s">
        <v>600</v>
      </c>
    </row>
  </sheetData>
  <autoFilter ref="A1:AA217" xr:uid="{00000000-0001-0000-0000-000000000000}"/>
  <phoneticPr fontId="1"/>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天野譲</dc:creator>
  <cp:lastModifiedBy>譲 天野</cp:lastModifiedBy>
  <dcterms:created xsi:type="dcterms:W3CDTF">2015-06-05T18:19:34Z</dcterms:created>
  <dcterms:modified xsi:type="dcterms:W3CDTF">2026-06-09T10:41:07Z</dcterms:modified>
</cp:coreProperties>
</file>